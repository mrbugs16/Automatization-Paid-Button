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Dashboard" sheetId="2" state="visible" r:id="rId4"/>
    <sheet name="Matriz de Pruebas" sheetId="3" state="visible" r:id="rId5"/>
  </sheets>
  <definedNames>
    <definedName function="false" hidden="true" localSheetId="2" name="_xlnm._FilterDatabase" vbProcedure="false">'Matriz de Pruebas'!$A$1:$M$50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<sst xmlns="http://schemas.openxmlformats.org/spreadsheetml/2006/main" count="610" uniqueCount="329">
  <si>
    <t xml:space="preserve">Matriz de Pruebas - Boton de Pago</t>
  </si>
  <si>
    <t xml:space="preserve">Gobierno de Puebla / Memphis Pay</t>
  </si>
  <si>
    <t xml:space="preserve">Version simplificada para pruebas manuales de QA (sin detalles tecnicos de backend)</t>
  </si>
  <si>
    <t xml:space="preserve">Proyecto:</t>
  </si>
  <si>
    <t xml:space="preserve">Boton de Pago - Gobierno de Puebla</t>
  </si>
  <si>
    <t xml:space="preserve">Elaborado por:</t>
  </si>
  <si>
    <t xml:space="preserve">QA Architect - Memphis Pay</t>
  </si>
  <si>
    <t xml:space="preserve">Tipo de matriz:</t>
  </si>
  <si>
    <t xml:space="preserve">Pruebas manuales / funcionales (nivel usuario)</t>
  </si>
  <si>
    <t xml:space="preserve">Total de casos:</t>
  </si>
  <si>
    <t xml:space="preserve">Alcance de las Pruebas (QA)</t>
  </si>
  <si>
    <t xml:space="preserve">Fase 1 - Gobierno de Puebla</t>
  </si>
  <si>
    <t xml:space="preserve">Genera y envia el enlace de pago al contribuyente. FUERA del alcance de esta matriz.</t>
  </si>
  <si>
    <t xml:space="preserve">Fase 2 - Memphis Pay (nuestro desarrollo)</t>
  </si>
  <si>
    <t xml:space="preserve">Desde que se abre el enlace de pago (validacion) hasta el resultado final (aprobado/rechazado). ES el alcance de esta matriz, lo que se prueba aqui.</t>
  </si>
  <si>
    <t xml:space="preserve">Fase 3 - Redireccion de vuelta al Gobierno de Puebla</t>
  </si>
  <si>
    <t xml:space="preserve">Al terminar el pago, el sistema redirige automaticamente al sitio del Gobierno. Solo se valida que la redireccion ocurra; el contenido de esa pagina destino esta FUERA del alcance.</t>
  </si>
  <si>
    <t xml:space="preserve">Resumen por Modulo</t>
  </si>
  <si>
    <t xml:space="preserve">Modulo</t>
  </si>
  <si>
    <t xml:space="preserve">No. de Casos</t>
  </si>
  <si>
    <t xml:space="preserve">01. Acceso al Enlace de Pago (inicio del alcance QA - pagina Memphis)</t>
  </si>
  <si>
    <t xml:space="preserve">02. Paso 1 - Datos de Contacto</t>
  </si>
  <si>
    <t xml:space="preserve">03. Paso 2 - Direccion</t>
  </si>
  <si>
    <t xml:space="preserve">04. Paso 3 - Datos de Tarjeta</t>
  </si>
  <si>
    <t xml:space="preserve">05. Procesamiento del Pago y Autenticacion del Banco (3D Secure)</t>
  </si>
  <si>
    <t xml:space="preserve">06. Resultado Exitoso (fin del alcance QA - redireccion al Gobierno)</t>
  </si>
  <si>
    <t xml:space="preserve">07. Resultado Fallido y Reintento</t>
  </si>
  <si>
    <t xml:space="preserve">08. Casos Especiales de Navegacion (usuario con poco conocimiento tecnico)</t>
  </si>
  <si>
    <t xml:space="preserve">09. Compatibilidad y Accesibilidad</t>
  </si>
  <si>
    <t xml:space="preserve">TOTAL</t>
  </si>
  <si>
    <t xml:space="preserve">Dashboard de Metricas - Matriz de Pruebas Boton de Pago</t>
  </si>
  <si>
    <t xml:space="preserve">Se actualiza solo al llenar la columna 'Estado' en la hoja Matriz de Pruebas</t>
  </si>
  <si>
    <t xml:space="preserve">Resumen General</t>
  </si>
  <si>
    <t xml:space="preserve">Total de Casos</t>
  </si>
  <si>
    <t xml:space="preserve">Casos Aprobados</t>
  </si>
  <si>
    <t xml:space="preserve">Casos Fallidos</t>
  </si>
  <si>
    <t xml:space="preserve">Casos Bloqueados</t>
  </si>
  <si>
    <t xml:space="preserve">Casos Sin Ejecutar</t>
  </si>
  <si>
    <t xml:space="preserve">% Ejecutado</t>
  </si>
  <si>
    <t xml:space="preserve">% Aprobacion (de ejecutados)</t>
  </si>
  <si>
    <t xml:space="preserve">Estado</t>
  </si>
  <si>
    <t xml:space="preserve">Cantidad</t>
  </si>
  <si>
    <t xml:space="preserve">Aprobado</t>
  </si>
  <si>
    <t xml:space="preserve">Fallido</t>
  </si>
  <si>
    <t xml:space="preserve">Bloqueado</t>
  </si>
  <si>
    <t xml:space="preserve">Sin Ejecutar</t>
  </si>
  <si>
    <t xml:space="preserve">Avance</t>
  </si>
  <si>
    <t xml:space="preserve">Ejecutado</t>
  </si>
  <si>
    <t xml:space="preserve">ID</t>
  </si>
  <si>
    <t xml:space="preserve">Caso de Prueba</t>
  </si>
  <si>
    <t xml:space="preserve">Tipo</t>
  </si>
  <si>
    <t xml:space="preserve">Prioridad</t>
  </si>
  <si>
    <t xml:space="preserve">Precondiciones</t>
  </si>
  <si>
    <t xml:space="preserve">Requiere 3DS</t>
  </si>
  <si>
    <t xml:space="preserve">Pasos a Seguir</t>
  </si>
  <si>
    <t xml:space="preserve">Datos de Prueba</t>
  </si>
  <si>
    <t xml:space="preserve">Resultado Esperado</t>
  </si>
  <si>
    <t xml:space="preserve">Resultado Obtenido</t>
  </si>
  <si>
    <t xml:space="preserve">Observaciones</t>
  </si>
  <si>
    <t xml:space="preserve">TC-BP-001</t>
  </si>
  <si>
    <t xml:space="preserve">Flujo completo: abrir el enlace de pago con datos correctos</t>
  </si>
  <si>
    <t xml:space="preserve">EXITO</t>
  </si>
  <si>
    <t xml:space="preserve">Alta</t>
  </si>
  <si>
    <t xml:space="preserve">El Gobierno de Puebla genero y envio el enlace de pago al contribuyente (correo/SMS); el enlace aun no ha sido usado</t>
  </si>
  <si>
    <t xml:space="preserve">N/A</t>
  </si>
  <si>
    <t xml:space="preserve">1. Abrir el enlace de pago recibido (proveniente del sitio del Gobierno de Puebla)
2. Verificar la pantalla de validacion</t>
  </si>
  <si>
    <t xml:space="preserve">Enlace de pago valido</t>
  </si>
  <si>
    <t xml:space="preserve">Se muestra la pantalla de validacion y despues el formulario, con el importe, concepto y referencia correctos</t>
  </si>
  <si>
    <t xml:space="preserve">Pendiente</t>
  </si>
  <si>
    <t xml:space="preserve">Este es el punto de entrada al alcance de QA de Memphis; el sitio del Gobierno de Puebla que genera el enlace no forma parte de esta matriz</t>
  </si>
  <si>
    <t xml:space="preserve">TC-BP-002</t>
  </si>
  <si>
    <t xml:space="preserve">Abrir un enlace de pago vencido o invalido</t>
  </si>
  <si>
    <t xml:space="preserve">ERROR</t>
  </si>
  <si>
    <t xml:space="preserve">Se cuenta con un enlace de prueba vencido o mal formado</t>
  </si>
  <si>
    <t xml:space="preserve">1. Abrir un enlace de pago que ya no es valido o esta mal escrito</t>
  </si>
  <si>
    <t xml:space="preserve">Enlace invalido/vencido</t>
  </si>
  <si>
    <t xml:space="preserve">Se muestra un mensaje de error claro; no se permite continuar con el pago</t>
  </si>
  <si>
    <t xml:space="preserve">TC-BP-003</t>
  </si>
  <si>
    <t xml:space="preserve">Volver a abrir el mismo enlace despues de haber pagado con exito</t>
  </si>
  <si>
    <t xml:space="preserve">ESPECIAL</t>
  </si>
  <si>
    <t xml:space="preserve">Existe una transaccion ya pagada con exito usando este mismo enlace</t>
  </si>
  <si>
    <t xml:space="preserve">1. Completar un pago exitoso
2. Volver a abrir el mismo enlace (ej. desde el correo o SMS original)</t>
  </si>
  <si>
    <t xml:space="preserve">Enlace de una transaccion ya pagada</t>
  </si>
  <si>
    <t xml:space="preserve">El sistema indica que el pago ya fue realizado y no permite cobrar de nuevo</t>
  </si>
  <si>
    <t xml:space="preserve">Muy comun: el contribuyente busca el link de nuevo para 'checar' que si pago</t>
  </si>
  <si>
    <t xml:space="preserve">TC-BP-004</t>
  </si>
  <si>
    <t xml:space="preserve">Abrir el mismo enlace en dos pestanas y pagar en una de ellas</t>
  </si>
  <si>
    <t xml:space="preserve">Media</t>
  </si>
  <si>
    <t xml:space="preserve">El enlace de pago es valido y no ha sido usado</t>
  </si>
  <si>
    <t xml:space="preserve">1. Abrir el enlace de pago en la Pestana A
2. Abrir el mismo enlace en la Pestana B
3. Completar el pago en la Pestana A
4. Intentar pagar en la Pestana B</t>
  </si>
  <si>
    <t xml:space="preserve">Mismo enlace abierto en 2 pestanas</t>
  </si>
  <si>
    <t xml:space="preserve">Solo se cobra una vez; la Pestana B muestra que la transaccion ya fue procesada</t>
  </si>
  <si>
    <t xml:space="preserve">TC-BP-005</t>
  </si>
  <si>
    <t xml:space="preserve">Abrir el enlace de pago y no hacer nada hasta que el token expire, sin llenar ningun dato</t>
  </si>
  <si>
    <t xml:space="preserve">Enlace de pago valido recien abierto, formulario de Contacto aun sin llenar</t>
  </si>
  <si>
    <t xml:space="preserve">1. Abrir el enlace de pago
2. No realizar ninguna accion y dejar pasar el tiempo de vida del token (segun lo defina desarrollo)
3. Intentar continuar despues de ese tiempo</t>
  </si>
  <si>
    <t xml:space="preserve">N/A - solo esperar sin interactuar</t>
  </si>
  <si>
    <t xml:space="preserve">El token del enlace se agota por inactividad; el sistema genera un nuevo token automaticamente y reinicia el proceso de validacion del enlace; no se registra ningun cobro</t>
  </si>
  <si>
    <t xml:space="preserve">Confirmado con desarrollo: al agotarse el token se genera uno nuevo y se reinicia el flujo, no se debe quedar en un error sin salida</t>
  </si>
  <si>
    <t xml:space="preserve">TC-BP-006</t>
  </si>
  <si>
    <t xml:space="preserve">Flujo completo: llenar telefono y correo validos y continuar</t>
  </si>
  <si>
    <t xml:space="preserve">El enlace de pago fue validado correctamente por el sistema Memphis y se muestra el Paso 1 - Contacto</t>
  </si>
  <si>
    <t xml:space="preserve">1. Ingresar un numero de telefono valido
2. Ingresar un correo valido
3. Dar clic en 'Continuar'</t>
  </si>
  <si>
    <t xml:space="preserve">Telefono: 2221234567 / Correo: contribuyente@correo.com</t>
  </si>
  <si>
    <t xml:space="preserve">El sistema avanza correctamente al Paso 2 - Direccion</t>
  </si>
  <si>
    <t xml:space="preserve">TC-BP-007</t>
  </si>
  <si>
    <t xml:space="preserve">No ingresar ningun dato y dar clic en 'Continuar'</t>
  </si>
  <si>
    <t xml:space="preserve">1. Dejar todos los campos vacios
2. Dar clic en 'Continuar'</t>
  </si>
  <si>
    <t xml:space="preserve">Formulario vacio</t>
  </si>
  <si>
    <t xml:space="preserve">El sistema no avanza; muestra mensajes de 'campo obligatorio' junto a telefono y correo</t>
  </si>
  <si>
    <t xml:space="preserve">TC-BP-008</t>
  </si>
  <si>
    <t xml:space="preserve">Ingresar solo el telefono y dejar el correo vacio</t>
  </si>
  <si>
    <t xml:space="preserve">1. Ingresar solo el telefono
2. Dejar el correo vacio
3. Dar clic en 'Continuar'</t>
  </si>
  <si>
    <t xml:space="preserve">Telefono valido, correo vacio</t>
  </si>
  <si>
    <t xml:space="preserve">El sistema no avanza; muestra mensaje de correo obligatorio</t>
  </si>
  <si>
    <t xml:space="preserve">TC-BP-009</t>
  </si>
  <si>
    <t xml:space="preserve">Ingresar un correo con formato incorrecto (sin arroba o sin dominio)</t>
  </si>
  <si>
    <t xml:space="preserve">1. Escribir 'contribuyentecorreo.com' en el campo de correo
2. Dar clic en 'Continuar'</t>
  </si>
  <si>
    <t xml:space="preserve">Correo: contribuyentecorreo.com</t>
  </si>
  <si>
    <t xml:space="preserve">El sistema muestra un mensaje de correo invalido y no permite avanzar</t>
  </si>
  <si>
    <t xml:space="preserve">TC-BP-010</t>
  </si>
  <si>
    <t xml:space="preserve">Ingresar un telefono incompleto (menos de 10 digitos)</t>
  </si>
  <si>
    <t xml:space="preserve">1. Escribir '12345' en el campo de telefono
2. Dar clic en 'Continuar'</t>
  </si>
  <si>
    <t xml:space="preserve">Telefono: 12345</t>
  </si>
  <si>
    <t xml:space="preserve">El sistema muestra un mensaje de telefono invalido y no permite avanzar</t>
  </si>
  <si>
    <t xml:space="preserve">TC-BP-011</t>
  </si>
  <si>
    <t xml:space="preserve">Ingresar letras en el campo de telefono</t>
  </si>
  <si>
    <t xml:space="preserve">Baja</t>
  </si>
  <si>
    <t xml:space="preserve">1. Escribir 'abc123' en el campo de telefono
2. Dar clic en 'Continuar'</t>
  </si>
  <si>
    <t xml:space="preserve">Telefono: abc123</t>
  </si>
  <si>
    <t xml:space="preserve">El campo rechaza las letras o muestra un mensaje de error claro</t>
  </si>
  <si>
    <t xml:space="preserve">TC-BP-012</t>
  </si>
  <si>
    <t xml:space="preserve">Flujo completo: llenar la direccion completa y continuar</t>
  </si>
  <si>
    <t xml:space="preserve">El Paso 1 - Contacto fue completado y confirmado correctamente</t>
  </si>
  <si>
    <t xml:space="preserve">1. Ingresar codigo postal, calle, numero y estado validos
2. Dar clic en 'Continuar'</t>
  </si>
  <si>
    <t xml:space="preserve">CP: 72000 / Calle: Reforma / No. 123 / Estado: Puebla</t>
  </si>
  <si>
    <t xml:space="preserve">El sistema avanza correctamente al Paso 3 - Datos de Tarjeta</t>
  </si>
  <si>
    <t xml:space="preserve">TC-BP-013</t>
  </si>
  <si>
    <t xml:space="preserve">No ingresar ningun dato de direccion y dar clic en 'Continuar'</t>
  </si>
  <si>
    <t xml:space="preserve">1. Dejar todos los campos de direccion vacios
2. Dar clic en 'Continuar'</t>
  </si>
  <si>
    <t xml:space="preserve">El sistema no avanza; muestra mensajes de 'campo obligatorio' en cada campo</t>
  </si>
  <si>
    <t xml:space="preserve">TC-BP-014</t>
  </si>
  <si>
    <t xml:space="preserve">Ingresar un codigo postal incompleto</t>
  </si>
  <si>
    <t xml:space="preserve">1. Escribir '720' en el campo de codigo postal
2. Dar clic en 'Continuar'</t>
  </si>
  <si>
    <t xml:space="preserve">CP: 720</t>
  </si>
  <si>
    <t xml:space="preserve">El sistema muestra un mensaje de codigo postal invalido y no permite avanzar</t>
  </si>
  <si>
    <t xml:space="preserve">TC-BP-015</t>
  </si>
  <si>
    <t xml:space="preserve">Ingresar un codigo postal que no existe en el catalogo</t>
  </si>
  <si>
    <t xml:space="preserve">1. Escribir '00000' en el campo de codigo postal</t>
  </si>
  <si>
    <t xml:space="preserve">CP: 00000</t>
  </si>
  <si>
    <t xml:space="preserve">El sistema avisa que no encontro colonias para ese codigo postal y permite corregirlo</t>
  </si>
  <si>
    <t xml:space="preserve">TC-BP-016</t>
  </si>
  <si>
    <t xml:space="preserve">Regresar al Paso 1 - Contacto y verificar que los datos no se pierdan</t>
  </si>
  <si>
    <t xml:space="preserve">Paso 2 - Direccion visible, con datos del Paso 1 ya capturados</t>
  </si>
  <si>
    <t xml:space="preserve">1. Estando en el Paso 2, dar clic en 'Regresar' o en el paso 'Contacto'
2. Revisar los campos de telefono y correo</t>
  </si>
  <si>
    <t xml:space="preserve">Los datos ingresados anteriormente siguen ahi, no se borran</t>
  </si>
  <si>
    <t xml:space="preserve">TC-BP-017</t>
  </si>
  <si>
    <t xml:space="preserve">Flujo completo: pagar con una tarjeta valida</t>
  </si>
  <si>
    <t xml:space="preserve">Los Pasos 1 (Contacto) y 2 (Direccion) fueron completados y confirmados correctamente</t>
  </si>
  <si>
    <t xml:space="preserve">Depende de la tarjeta de prueba usada (ver Modulo 5 para los escenarios con y sin 3D Secure)</t>
  </si>
  <si>
    <t xml:space="preserve">1. Ingresar numero de tarjeta, nombre, fecha de vencimiento y CVV validos
2. Dar clic en 'Pagar'</t>
  </si>
  <si>
    <t xml:space="preserve">Tarjeta de prueba valida (Visa/Mastercard)</t>
  </si>
  <si>
    <t xml:space="preserve">El sistema acepta los datos y muestra la pantalla 'Procesando transaccion'</t>
  </si>
  <si>
    <t xml:space="preserve">TC-BP-018</t>
  </si>
  <si>
    <t xml:space="preserve">No ingresar ningun dato de tarjeta y dar clic en 'Pagar'</t>
  </si>
  <si>
    <t xml:space="preserve">No aplica - el pago no llega a procesarse</t>
  </si>
  <si>
    <t xml:space="preserve">1. Dejar todos los campos de tarjeta vacios
2. Dar clic en 'Pagar'</t>
  </si>
  <si>
    <t xml:space="preserve">TC-BP-019</t>
  </si>
  <si>
    <t xml:space="preserve">Ingresar campos incompletos en los datos de la tarjeta</t>
  </si>
  <si>
    <t xml:space="preserve">1. Ingresar solo el numero de tarjeta
2. Dejar el resto de los campos vacios
3. Dar clic en 'Pagar'</t>
  </si>
  <si>
    <t xml:space="preserve">Solo numero de tarjeta capturado</t>
  </si>
  <si>
    <t xml:space="preserve">El sistema no avanza; muestra mensajes de error en los campos faltantes (nombre, vigencia, CVV)</t>
  </si>
  <si>
    <t xml:space="preserve">TC-BP-020</t>
  </si>
  <si>
    <t xml:space="preserve">Ingresar un numero de tarjeta invalido/incorrecto</t>
  </si>
  <si>
    <t xml:space="preserve">1. Escribir un numero de tarjeta que no es valido
2. Intentar continuar</t>
  </si>
  <si>
    <t xml:space="preserve">Tarjeta: 4111 1111 1111 1112</t>
  </si>
  <si>
    <t xml:space="preserve">El sistema muestra un mensaje de 'numero de tarjeta invalido' antes de intentar procesar el pago</t>
  </si>
  <si>
    <t xml:space="preserve">TC-BP-021</t>
  </si>
  <si>
    <t xml:space="preserve">Ingresar una tarjeta con fecha de vencimiento pasada</t>
  </si>
  <si>
    <t xml:space="preserve">1. Escribir una fecha de vencimiento anterior a la fecha actual
2. Intentar continuar</t>
  </si>
  <si>
    <t xml:space="preserve">Vigencia: 01/20</t>
  </si>
  <si>
    <t xml:space="preserve">El sistema muestra un mensaje de 'tarjeta vencida' y no permite continuar</t>
  </si>
  <si>
    <t xml:space="preserve">TC-BP-022</t>
  </si>
  <si>
    <t xml:space="preserve">Ingresar CVV incorrecto o incompleto</t>
  </si>
  <si>
    <t xml:space="preserve">1. Escribir un CVV de solo 2 digitos
2. Intentar continuar</t>
  </si>
  <si>
    <t xml:space="preserve">CVV: 12</t>
  </si>
  <si>
    <t xml:space="preserve">El sistema muestra un mensaje de 'CVV invalido' y no permite continuar</t>
  </si>
  <si>
    <t xml:space="preserve">TC-BP-023</t>
  </si>
  <si>
    <t xml:space="preserve">Ingresar el NIP/clave incorrecto de la tarjeta al momento de pagar</t>
  </si>
  <si>
    <t xml:space="preserve">Datos de tarjeta validos capturados y enviados; el banco emisor solicita autenticacion (3D Secure)</t>
  </si>
  <si>
    <t xml:space="preserve">Si - el NIP/clave se valida dentro de la pantalla de autenticacion del banco</t>
  </si>
  <si>
    <t xml:space="preserve">1. Completar el formulario con una tarjeta valida
2. Al pedir el NIP/clave de la tarjeta, ingresar uno incorrecto
3. Esperar la respuesta del banco</t>
  </si>
  <si>
    <t xml:space="preserve">NIP incorrecto</t>
  </si>
  <si>
    <t xml:space="preserve">Aparece una ventana emergente (popup) indicando que el pago fue rechazado por NIP incorrecto; se permite reintentar</t>
  </si>
  <si>
    <t xml:space="preserve">TC-BP-024</t>
  </si>
  <si>
    <t xml:space="preserve">Verificar que el numero de tarjeta se oculte mientras se escribe</t>
  </si>
  <si>
    <t xml:space="preserve">1. Empezar a escribir el numero de tarjeta
2. Observar como se muestran los digitos ya escritos</t>
  </si>
  <si>
    <t xml:space="preserve">Los digitos previos se ocultan/enmascaran, mostrando solo los ultimos, para que otra persona no pueda verlos</t>
  </si>
  <si>
    <t xml:space="preserve">TC-BP-025</t>
  </si>
  <si>
    <t xml:space="preserve">Pago exitoso sin pedir autenticacion adicional del banco</t>
  </si>
  <si>
    <t xml:space="preserve">Datos de tarjeta validos capturados y enviados a procesar</t>
  </si>
  <si>
    <t xml:space="preserve">No - tarjeta de prueba configurada sin 3D Secure</t>
  </si>
  <si>
    <t xml:space="preserve">1. Confirmar el pago con una tarjeta que no pide autenticacion extra</t>
  </si>
  <si>
    <t xml:space="preserve">Tarjeta de prueba sin 3D Secure</t>
  </si>
  <si>
    <t xml:space="preserve">El pago se procesa directamente y avanza a la pantalla de resultado</t>
  </si>
  <si>
    <t xml:space="preserve">TC-BP-026</t>
  </si>
  <si>
    <t xml:space="preserve">Pago exitoso completando la autenticacion del banco (3D Secure)</t>
  </si>
  <si>
    <t xml:space="preserve">Si - tarjeta de prueba configurada con 3D Secure</t>
  </si>
  <si>
    <t xml:space="preserve">1. Confirmar el pago con una tarjeta que pide autenticacion del banco
2. Completar la verificacion que pide el banco (clave/codigo)</t>
  </si>
  <si>
    <t xml:space="preserve">Tarjeta de prueba con 3D Secure</t>
  </si>
  <si>
    <t xml:space="preserve">El usuario regresa correctamente a Memphis y el resultado del pago se muestra bien</t>
  </si>
  <si>
    <t xml:space="preserve">TC-BP-027</t>
  </si>
  <si>
    <t xml:space="preserve">Cancelar o cerrar la ventana de verificacion del banco sin completarla</t>
  </si>
  <si>
    <t xml:space="preserve">Pago enviado a procesar; el banco esta solicitando 3D Secure</t>
  </si>
  <si>
    <t xml:space="preserve">Si</t>
  </si>
  <si>
    <t xml:space="preserve">1. Al llegar a la pantalla de verificacion del banco, cerrarla o darle 'cancelar'</t>
  </si>
  <si>
    <t xml:space="preserve">El sistema regresa al flujo de Memphis y muestra un mensaje de error, permitiendo reintentar el pago</t>
  </si>
  <si>
    <t xml:space="preserve">Comun en usuarios que no entienden la pantalla del banco y la cierran</t>
  </si>
  <si>
    <t xml:space="preserve">TC-BP-028</t>
  </si>
  <si>
    <t xml:space="preserve">El usuario tarda demasiado en responder en la pantalla del banco</t>
  </si>
  <si>
    <t xml:space="preserve">1. Llegar a la pantalla de verificacion del banco
2. No hacer nada y dejar pasar varios minutos</t>
  </si>
  <si>
    <t xml:space="preserve">El sistema muestra un mensaje de tiempo agotado y permite reintentar el pago sin cobrar dos veces</t>
  </si>
  <si>
    <t xml:space="preserve">TC-BP-029</t>
  </si>
  <si>
    <t xml:space="preserve">Verificar la pantalla de 'Transaccion aprobada'</t>
  </si>
  <si>
    <t xml:space="preserve">El pago fue enviado al banco y aprobado (con o sin 3D Secure, segun la tarjeta de prueba usada)</t>
  </si>
  <si>
    <t xml:space="preserve">Aplica igual con o sin 3D Secure</t>
  </si>
  <si>
    <t xml:space="preserve">1. Completar un pago exitoso
2. Revisar la informacion mostrada en pantalla</t>
  </si>
  <si>
    <t xml:space="preserve">Se muestra claramente que el pago fue aprobado, junto con la referencia y el folio/autorizacion</t>
  </si>
  <si>
    <t xml:space="preserve">TC-BP-030</t>
  </si>
  <si>
    <t xml:space="preserve">Esperar a que el contador regresivo llegue a cero y se redirija al Gobierno de Puebla</t>
  </si>
  <si>
    <t xml:space="preserve">1. En la pantalla de exito, no hacer nada y dejar correr el contador
2. Verificar que la redireccion final ocurra</t>
  </si>
  <si>
    <t xml:space="preserve">Al llegar a cero, el sistema redirige automaticamente al sitio del Gobierno de Puebla</t>
  </si>
  <si>
    <t xml:space="preserve">Fin del alcance de QA de Memphis: solo se valida que la redireccion ocurra correctamente; el contenido de la pagina destino del Gobierno de Puebla NO forma parte de esta matriz</t>
  </si>
  <si>
    <t xml:space="preserve">TC-BP-031</t>
  </si>
  <si>
    <t xml:space="preserve">Dar clic en 'Continuar' antes de que termine el contador</t>
  </si>
  <si>
    <t xml:space="preserve">1. En la pantalla de exito, dar clic en 'Continuar' antes de que el contador llegue a cero</t>
  </si>
  <si>
    <t xml:space="preserve">El sistema redirige de inmediato hacia el sitio del Gobierno de Puebla, sin esperar a que termine el conteo</t>
  </si>
  <si>
    <t xml:space="preserve">TC-BP-032</t>
  </si>
  <si>
    <t xml:space="preserve">Verificar la pantalla de 'Transaccion rechazada'</t>
  </si>
  <si>
    <t xml:space="preserve">El pago fue enviado al banco y rechazado, o fue rechazado por el sistema antes de llegar al banco</t>
  </si>
  <si>
    <t xml:space="preserve">1. Provocar un rechazo usando una tarjeta de prueba declinada
2. Revisar la informacion mostrada</t>
  </si>
  <si>
    <t xml:space="preserve">Tarjeta de prueba declinada</t>
  </si>
  <si>
    <t xml:space="preserve">Se muestra claramente que el pago fue rechazado, con un mensaje comprensible para el contribuyente</t>
  </si>
  <si>
    <t xml:space="preserve">TC-BP-033</t>
  </si>
  <si>
    <t xml:space="preserve">Dar clic en 'Reintentar' tras un pago rechazado</t>
  </si>
  <si>
    <t xml:space="preserve">1. Tras un rechazo, dar clic en el boton 'Reintentar'</t>
  </si>
  <si>
    <t xml:space="preserve">El sistema regresa al formulario de pago para intentar de nuevo, sin perder la referencia original</t>
  </si>
  <si>
    <t xml:space="preserve">TC-BP-034</t>
  </si>
  <si>
    <t xml:space="preserve">Reintentar el pago con una tarjeta valida despues de un primer rechazo</t>
  </si>
  <si>
    <t xml:space="preserve">Primer intento rechazado; boton 'Reintentar' presionado</t>
  </si>
  <si>
    <t xml:space="preserve">Depende de la tarjeta de prueba usada en el reintento</t>
  </si>
  <si>
    <t xml:space="preserve">1. Tras un rechazo, dar clic en 'Reintentar'
2. Completar el pago con una tarjeta valida</t>
  </si>
  <si>
    <t xml:space="preserve">Tarjeta valida en el segundo intento</t>
  </si>
  <si>
    <t xml:space="preserve">El segundo intento se aprueba correctamente y se muestra la pantalla de exito</t>
  </si>
  <si>
    <t xml:space="preserve">TC-BP-035</t>
  </si>
  <si>
    <t xml:space="preserve">Insistir varias veces seguidas con la misma tarjeta rechazada</t>
  </si>
  <si>
    <t xml:space="preserve">Tarjeta de prueba declinada disponible para repetir el intento</t>
  </si>
  <si>
    <t xml:space="preserve">1. Reintentar el pago 3 o mas veces seguidas con la misma tarjeta declinada</t>
  </si>
  <si>
    <t xml:space="preserve">Tarjeta declinada, 3+ intentos</t>
  </si>
  <si>
    <t xml:space="preserve">El sistema permite los reintentos sin bloquear al usuario, y no genera ningun cobro parcial</t>
  </si>
  <si>
    <t xml:space="preserve">TC-BP-036</t>
  </si>
  <si>
    <t xml:space="preserve">Presionar F5 (recargar la pagina) durante el llenado de cualquier paso</t>
  </si>
  <si>
    <t xml:space="preserve">Cualquier paso del formulario (Contacto, Direccion o Tarjeta) con datos parcialmente capturados</t>
  </si>
  <si>
    <t xml:space="preserve">1. Llenar parcialmente cualquier paso del formulario
2. Presionar F5 o el boton de recargar del navegador</t>
  </si>
  <si>
    <t xml:space="preserve">La pagina regresa a un estado correcto (reinicia el formulario o recupera el progreso); no se genera ningun cobro ni error tecnico feo en pantalla</t>
  </si>
  <si>
    <t xml:space="preserve">TC-BP-037</t>
  </si>
  <si>
    <t xml:space="preserve">Presionar F5 justo despues de confirmar el pago (pantalla 'Procesando')</t>
  </si>
  <si>
    <t xml:space="preserve">Pago recien confirmado, pantalla 'Procesando transaccion' visible</t>
  </si>
  <si>
    <t xml:space="preserve">Depende de la tarjeta usada en la prueba</t>
  </si>
  <si>
    <t xml:space="preserve">1. Confirmar el pago
2. Inmediatamente presionar F5 antes de ver el resultado</t>
  </si>
  <si>
    <t xml:space="preserve">El sistema NO cobra dos veces; al recargar muestra el resultado real del pago (aprobado, rechazado o en proceso)</t>
  </si>
  <si>
    <t xml:space="preserve">Caso critico; muy comun en usuarios impacientes que no saben tecnologia</t>
  </si>
  <si>
    <t xml:space="preserve">TC-BP-038</t>
  </si>
  <si>
    <t xml:space="preserve">Presionar el boton 'Atras' del navegador durante el llenado del formulario</t>
  </si>
  <si>
    <t xml:space="preserve">Cualquier paso del formulario con datos parcialmente capturados</t>
  </si>
  <si>
    <t xml:space="preserve">1. Llenar parcialmente cualquier paso
2. Presionar el boton 'Atras' del navegador (no el de la pagina)</t>
  </si>
  <si>
    <t xml:space="preserve">El sistema maneja bien la navegacion; no muestra errores raros ni deja el formulario en un estado inconsistente</t>
  </si>
  <si>
    <t xml:space="preserve">TC-BP-039</t>
  </si>
  <si>
    <t xml:space="preserve">Presionar 'Atras' despues de ver 'Transaccion aprobada' y luego 'Adelante'</t>
  </si>
  <si>
    <t xml:space="preserve">1. Tras ver la pantalla de exito, presionar 'Atras' del navegador
2. Presionar 'Adelante' de nuevo</t>
  </si>
  <si>
    <t xml:space="preserve">El sistema no permite volver a capturar y pagar sobre una transaccion ya cobrada; solo muestra el resultado ya obtenido</t>
  </si>
  <si>
    <t xml:space="preserve">TC-BP-040</t>
  </si>
  <si>
    <t xml:space="preserve">Cerrar la pestana o el navegador justo cuando dice 'Procesando transaccion'</t>
  </si>
  <si>
    <t xml:space="preserve">1. Confirmar el pago
2. Cerrar la pestana o el navegador inmediatamente, antes de ver el resultado</t>
  </si>
  <si>
    <t xml:space="preserve">El pago queda resuelto correctamente (aprobado o rechazado); al volver a abrir el link no se cobra de nuevo</t>
  </si>
  <si>
    <t xml:space="preserve">TC-BP-041</t>
  </si>
  <si>
    <t xml:space="preserve">Perder la conexion a internet mientras se llena el formulario</t>
  </si>
  <si>
    <t xml:space="preserve">Cualquier paso del formulario con datos parcialmente capturados; conexion activa</t>
  </si>
  <si>
    <t xml:space="preserve">1. Llenar parcialmente cualquier paso
2. Apagar el wifi/datos moviles
3. Intentar continuar
4. Volver a conectar el internet</t>
  </si>
  <si>
    <t xml:space="preserve">El sistema avisa claramente que no hay conexion; al recuperar internet, el usuario puede seguir sin perder lo que ya habia escrito</t>
  </si>
  <si>
    <t xml:space="preserve">TC-BP-042</t>
  </si>
  <si>
    <t xml:space="preserve">Perder la conexion a internet justo despues de confirmar el pago</t>
  </si>
  <si>
    <t xml:space="preserve">Pago recien confirmado, conexion activa</t>
  </si>
  <si>
    <t xml:space="preserve">1. Confirmar el pago
2. Apagar el wifi/datos moviles inmediatamente
3. Volver a conectar despues de unos segundos</t>
  </si>
  <si>
    <t xml:space="preserve">El sistema no cobra dos veces; al reconectar muestra el resultado real y final del pago</t>
  </si>
  <si>
    <t xml:space="preserve">TC-BP-043</t>
  </si>
  <si>
    <t xml:space="preserve">Dar doble clic o clics rapidos y repetidos en el boton de pagar</t>
  </si>
  <si>
    <t xml:space="preserve">1. Llenar el formulario correctamente
2. Dar varios clics rapidos y seguidos sobre el boton 'Pagar' antes de que la pantalla reaccione</t>
  </si>
  <si>
    <t xml:space="preserve">El sistema solo procesa un pago; no se generan cobros duplicados</t>
  </si>
  <si>
    <t xml:space="preserve">Muy comun en usuarios que no ven respuesta inmediata y vuelven a picarle</t>
  </si>
  <si>
    <t xml:space="preserve">TC-BP-044</t>
  </si>
  <si>
    <t xml:space="preserve">Dejar la pagina de pago abierta sin hacer nada por mucho tiempo, despues de haber empezado a llenar el formulario</t>
  </si>
  <si>
    <t xml:space="preserve">1. Abrir el enlace de pago y empezar a llenar cualquier paso
2. No hacer nada durante un tiempo prolongado (segun el tiempo de vida del token definido por desarrollo)
3. Intentar continuar el llenado</t>
  </si>
  <si>
    <t xml:space="preserve">El token expira automaticamente por inactividad; el sistema genera un nuevo token y reinicia el proceso desde la validacion del enlace, sin registrar ningun cobro</t>
  </si>
  <si>
    <t xml:space="preserve">Mismo comportamiento esperado que al inicio del flujo (ver Modulo 1): token vencido = nuevo token automatico, nunca un error sin salida</t>
  </si>
  <si>
    <t xml:space="preserve">TC-BP-045</t>
  </si>
  <si>
    <t xml:space="preserve">Volver a abrir el mismo enlace mientras el pago anterior sigue en proceso (otra pestana/celular)</t>
  </si>
  <si>
    <t xml:space="preserve">Pago en curso en otra sesion, usando el mismo enlace/token</t>
  </si>
  <si>
    <t xml:space="preserve">1. Empezar el pago en un dispositivo/pestana y dejarlo en 'Procesando'
2. Abrir el mismo enlace en otro dispositivo/pestana</t>
  </si>
  <si>
    <t xml:space="preserve">El sistema avisa que ya hay un pago en proceso y no permite iniciar un segundo cobro al mismo tiempo</t>
  </si>
  <si>
    <t xml:space="preserve">TC-BP-046</t>
  </si>
  <si>
    <t xml:space="preserve">Pegar un correo copiado con espacios de mas al inicio o al final</t>
  </si>
  <si>
    <t xml:space="preserve">1. Copiar el texto ' contribuyente@correo.com ' con espacios de otra parte
2. Pegarlo en el campo de correo
3. Dar clic en 'Continuar'</t>
  </si>
  <si>
    <t xml:space="preserve">Correo con espacios extra</t>
  </si>
  <si>
    <t xml:space="preserve">El sistema quita los espacios automaticamente y valida bien el correo, o avisa el error de forma clara</t>
  </si>
  <si>
    <t xml:space="preserve">TC-BP-047</t>
  </si>
  <si>
    <t xml:space="preserve">Completar el flujo de pago en distintos navegadores (Chrome, Edge, Safari)</t>
  </si>
  <si>
    <t xml:space="preserve">1. Repetir el flujo completo de pago en cada navegador</t>
  </si>
  <si>
    <t xml:space="preserve">Chrome / Edge / Safari</t>
  </si>
  <si>
    <t xml:space="preserve">El flujo se ve y funciona igual de bien en los tres navegadores, sin errores visuales ni de funcionamiento</t>
  </si>
  <si>
    <t xml:space="preserve">TC-BP-048</t>
  </si>
  <si>
    <t xml:space="preserve">Completar el flujo de pago desde un celular</t>
  </si>
  <si>
    <t xml:space="preserve">1. Abrir el enlace de pago desde un celular
2. Completar el flujo completo</t>
  </si>
  <si>
    <t xml:space="preserve">Celular Android / iPhone</t>
  </si>
  <si>
    <t xml:space="preserve">La pagina se ve bien y es facil de usar en pantalla de celular; el flujo se completa sin problemas</t>
  </si>
  <si>
    <t xml:space="preserve">TC-BP-049</t>
  </si>
  <si>
    <t xml:space="preserve">Verificar que los textos y botones sean legibles y faciles de entender para una persona sin experiencia con tecnologia</t>
  </si>
  <si>
    <t xml:space="preserve">1. Revisar cada pantalla del flujo desde el punto de vista de un usuario sin experiencia
2. Verificar tamano de letra, claridad de mensajes y botones</t>
  </si>
  <si>
    <t xml:space="preserve">Los textos son claros, sin tecnicismos; los botones son grandes y faciles de identificar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</si>
</sst>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2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name val="Arial"/>
      <family val="0"/>
      <charset val="1"/>
    </font>
    <font>
      <sz val="10"/>
      <color rgb="FF1E7B34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B45F0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4CCCC"/>
        <bgColor rgb="FFD9D9D9"/>
      </patternFill>
    </fill>
    <fill>
      <patternFill patternType="solid">
        <fgColor rgb="FFE2EFDA"/>
        <bgColor rgb="FFE4F5E1"/>
      </patternFill>
    </fill>
    <fill>
      <patternFill patternType="solid">
        <fgColor rgb="FF1F3864"/>
        <bgColor rgb="FF333333"/>
      </patternFill>
    </fill>
    <fill>
      <patternFill patternType="solid">
        <fgColor rgb="FFFCE4E4"/>
        <bgColor rgb="FFF2F2F2"/>
      </patternFill>
    </fill>
    <fill>
      <patternFill patternType="solid">
        <fgColor rgb="FFF2F2F2"/>
        <bgColor rgb="FFF2F6FC"/>
      </patternFill>
    </fill>
    <fill>
      <patternFill patternType="solid">
        <fgColor rgb="FFFFFFFF"/>
        <bgColor rgb="FFF2F6FC"/>
      </patternFill>
    </fill>
    <fill>
      <patternFill patternType="solid">
        <fgColor rgb="FFFFF6D8"/>
        <bgColor rgb="FFF2F2F2"/>
      </patternFill>
    </fill>
    <fill>
      <patternFill patternType="solid">
        <fgColor rgb="FFF2F6FC"/>
        <bgColor rgb="FFF2F2F2"/>
      </patternFill>
    </fill>
    <fill>
      <patternFill patternType="solid">
        <fgColor rgb="FFE4F5E1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6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E4F5E1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6D8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F0000"/>
      <rgbColor rgb="FF1E7B34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6D8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2F6FC"/>
      <rgbColor rgb="FFE4F5E1"/>
      <rgbColor rgb="FFF2F2F2"/>
      <rgbColor rgb="FFFCE4E4"/>
      <rgbColor rgb="FFFF99CC"/>
      <rgbColor rgb="FFCC99FF"/>
      <rgbColor rgb="FFF4CCCC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70AD47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Resultados de Pruebas por Estado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Dashboard!C15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70ad4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f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6a6a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Dashboard!$B$16:$B$19</c:f>
              <c:strCache>
                <c:ptCount val="4"/>
                <c:pt idx="0">
                  <c:v>Aprobado</c:v>
                </c:pt>
                <c:pt idx="1">
                  <c:v>Fallido</c:v>
                </c:pt>
                <c:pt idx="2">
                  <c:v>Bloqueado</c:v>
                </c:pt>
                <c:pt idx="3">
                  <c:v>Sin Ejecutar</c:v>
                </c:pt>
              </c:strCache>
            </c:strRef>
          </c:cat>
          <c:val>
            <c:numRef>
              <c:f>Dashboard!$C$16:$C$19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 de Ejecucion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Dashboard!C21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9d9d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Dashboard!$B$22:$B$23</c:f>
              <c:strCache>
                <c:ptCount val="2"/>
                <c:pt idx="0">
                  <c:v>Ejecutado</c:v>
                </c:pt>
                <c:pt idx="1">
                  <c:v>Sin Ejecutar</c:v>
                </c:pt>
              </c:strCache>
            </c:strRef>
          </c:cat>
          <c:val>
            <c:numRef>
              <c:f>Dashboard!$C$22:$C$23</c:f>
              <c:numCache>
                <c:formatCode>General</c:formatCode>
                <c:ptCount val="2"/>
                <c:pt idx="0">
                  <c:v>0</c:v>
                </c:pt>
                <c:pt idx="1">
                  <c:v>49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131040</xdr:rowOff>
    </xdr:from>
    <xdr:to>
      <xdr:col>11</xdr:col>
      <xdr:colOff>399240</xdr:colOff>
      <xdr:row>19</xdr:row>
      <xdr:rowOff>127800</xdr:rowOff>
    </xdr:to>
    <xdr:graphicFrame>
      <xdr:nvGraphicFramePr>
        <xdr:cNvPr id="0" name="Chart 1"/>
        <xdr:cNvGraphicFramePr/>
      </xdr:nvGraphicFramePr>
      <xdr:xfrm>
        <a:off x="4206240" y="76212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21</xdr:row>
      <xdr:rowOff>116280</xdr:rowOff>
    </xdr:from>
    <xdr:to>
      <xdr:col>11</xdr:col>
      <xdr:colOff>399240</xdr:colOff>
      <xdr:row>37</xdr:row>
      <xdr:rowOff>127800</xdr:rowOff>
    </xdr:to>
    <xdr:graphicFrame>
      <xdr:nvGraphicFramePr>
        <xdr:cNvPr id="1" name="Chart 2"/>
        <xdr:cNvGraphicFramePr/>
      </xdr:nvGraphicFramePr>
      <xdr:xfrm>
        <a:off x="4206240" y="419112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6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6" customFormat="false" ht="15" hidden="false" customHeight="false" outlineLevel="0" collapsed="false">
      <c r="B6" s="3" t="s">
        <v>3</v>
      </c>
      <c r="C6" s="4" t="s">
        <v>4</v>
      </c>
    </row>
    <row r="7" customFormat="false" ht="15" hidden="false" customHeight="false" outlineLevel="0" collapsed="false">
      <c r="B7" s="3" t="s">
        <v>5</v>
      </c>
      <c r="C7" s="4" t="s">
        <v>6</v>
      </c>
    </row>
    <row r="8" customFormat="false" ht="15" hidden="false" customHeight="false" outlineLevel="0" collapsed="false">
      <c r="B8" s="3" t="s">
        <v>7</v>
      </c>
      <c r="C8" s="4" t="s">
        <v>8</v>
      </c>
    </row>
    <row r="9" customFormat="false" ht="15" hidden="false" customHeight="false" outlineLevel="0" collapsed="false">
      <c r="B9" s="3" t="s">
        <v>9</v>
      </c>
      <c r="C9" s="4" t="n">
        <v>49</v>
      </c>
    </row>
    <row r="11" customFormat="false" ht="16.15" hidden="false" customHeight="false" outlineLevel="0" collapsed="false">
      <c r="B11" s="5" t="s">
        <v>10</v>
      </c>
    </row>
    <row r="12" customFormat="false" ht="48" hidden="false" customHeight="true" outlineLevel="0" collapsed="false">
      <c r="B12" s="6" t="s">
        <v>11</v>
      </c>
      <c r="C12" s="7" t="s">
        <v>12</v>
      </c>
    </row>
    <row r="13" customFormat="false" ht="48" hidden="false" customHeight="true" outlineLevel="0" collapsed="false">
      <c r="B13" s="8" t="s">
        <v>13</v>
      </c>
      <c r="C13" s="7" t="s">
        <v>14</v>
      </c>
    </row>
    <row r="14" customFormat="false" ht="48" hidden="false" customHeight="true" outlineLevel="0" collapsed="false">
      <c r="B14" s="6" t="s">
        <v>15</v>
      </c>
      <c r="C14" s="7" t="s">
        <v>16</v>
      </c>
    </row>
    <row r="16" customFormat="false" ht="16.15" hidden="false" customHeight="false" outlineLevel="0" collapsed="false">
      <c r="B16" s="5" t="s">
        <v>17</v>
      </c>
    </row>
    <row r="17" customFormat="false" ht="15" hidden="false" customHeight="false" outlineLevel="0" collapsed="false">
      <c r="B17" s="9" t="s">
        <v>18</v>
      </c>
      <c r="C17" s="9" t="s">
        <v>19</v>
      </c>
    </row>
    <row r="18" customFormat="false" ht="15" hidden="false" customHeight="false" outlineLevel="0" collapsed="false">
      <c r="B18" s="4" t="s">
        <v>20</v>
      </c>
      <c r="C18" s="10" t="n">
        <v>5</v>
      </c>
    </row>
    <row r="19" customFormat="false" ht="15" hidden="false" customHeight="false" outlineLevel="0" collapsed="false">
      <c r="B19" s="4" t="s">
        <v>21</v>
      </c>
      <c r="C19" s="10" t="n">
        <v>6</v>
      </c>
    </row>
    <row r="20" customFormat="false" ht="15" hidden="false" customHeight="false" outlineLevel="0" collapsed="false">
      <c r="B20" s="4" t="s">
        <v>22</v>
      </c>
      <c r="C20" s="10" t="n">
        <v>5</v>
      </c>
    </row>
    <row r="21" customFormat="false" ht="15" hidden="false" customHeight="false" outlineLevel="0" collapsed="false">
      <c r="B21" s="4" t="s">
        <v>23</v>
      </c>
      <c r="C21" s="10" t="n">
        <v>8</v>
      </c>
    </row>
    <row r="22" customFormat="false" ht="15" hidden="false" customHeight="false" outlineLevel="0" collapsed="false">
      <c r="B22" s="4" t="s">
        <v>24</v>
      </c>
      <c r="C22" s="10" t="n">
        <v>4</v>
      </c>
    </row>
    <row r="23" customFormat="false" ht="15" hidden="false" customHeight="false" outlineLevel="0" collapsed="false">
      <c r="B23" s="4" t="s">
        <v>25</v>
      </c>
      <c r="C23" s="10" t="n">
        <v>3</v>
      </c>
    </row>
    <row r="24" customFormat="false" ht="15" hidden="false" customHeight="false" outlineLevel="0" collapsed="false">
      <c r="B24" s="4" t="s">
        <v>26</v>
      </c>
      <c r="C24" s="10" t="n">
        <v>4</v>
      </c>
    </row>
    <row r="25" customFormat="false" ht="15" hidden="false" customHeight="false" outlineLevel="0" collapsed="false">
      <c r="B25" s="4" t="s">
        <v>27</v>
      </c>
      <c r="C25" s="10" t="n">
        <v>11</v>
      </c>
    </row>
    <row r="26" customFormat="false" ht="15" hidden="false" customHeight="false" outlineLevel="0" collapsed="false">
      <c r="B26" s="4" t="s">
        <v>28</v>
      </c>
      <c r="C26" s="10" t="n">
        <v>3</v>
      </c>
    </row>
    <row r="27" customFormat="false" ht="15" hidden="false" customHeight="false" outlineLevel="0" collapsed="false">
      <c r="B27" s="3" t="s">
        <v>29</v>
      </c>
      <c r="C27" s="11" t="n">
        <f aca="false">SUM(C18:C26)</f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16"/>
  </cols>
  <sheetData>
    <row r="2" customFormat="false" ht="19.7" hidden="false" customHeight="false" outlineLevel="0" collapsed="false">
      <c r="B2" s="12" t="s">
        <v>30</v>
      </c>
    </row>
    <row r="3" customFormat="false" ht="15" hidden="false" customHeight="false" outlineLevel="0" collapsed="false">
      <c r="B3" s="13" t="s">
        <v>31</v>
      </c>
    </row>
    <row r="5" customFormat="false" ht="16.15" hidden="false" customHeight="false" outlineLevel="0" collapsed="false">
      <c r="B5" s="5" t="s">
        <v>32</v>
      </c>
    </row>
    <row r="6" customFormat="false" ht="15" hidden="false" customHeight="false" outlineLevel="0" collapsed="false">
      <c r="B6" s="3" t="s">
        <v>33</v>
      </c>
      <c r="C6" s="11" t="n">
        <f aca="false">COUNTA('Matriz de Pruebas'!A2:A50)</f>
        <v>49</v>
      </c>
    </row>
    <row r="7" customFormat="false" ht="15" hidden="false" customHeight="false" outlineLevel="0" collapsed="false">
      <c r="B7" s="3" t="s">
        <v>34</v>
      </c>
      <c r="C7" s="14" t="n">
        <f aca="false">COUNTIF('Matriz de Pruebas'!L2:L50,"Aprobado")</f>
        <v>0</v>
      </c>
    </row>
    <row r="8" customFormat="false" ht="15" hidden="false" customHeight="false" outlineLevel="0" collapsed="false">
      <c r="B8" s="3" t="s">
        <v>35</v>
      </c>
      <c r="C8" s="15" t="n">
        <f aca="false">COUNTIF('Matriz de Pruebas'!L2:L50,"Fallido")</f>
        <v>0</v>
      </c>
    </row>
    <row r="9" customFormat="false" ht="15" hidden="false" customHeight="false" outlineLevel="0" collapsed="false">
      <c r="B9" s="3" t="s">
        <v>36</v>
      </c>
      <c r="C9" s="16" t="n">
        <f aca="false">COUNTIF('Matriz de Pruebas'!L2:L50,"Bloqueado")</f>
        <v>0</v>
      </c>
    </row>
    <row r="10" customFormat="false" ht="15" hidden="false" customHeight="false" outlineLevel="0" collapsed="false">
      <c r="B10" s="3" t="s">
        <v>37</v>
      </c>
      <c r="C10" s="17" t="n">
        <f aca="false">COUNTIF('Matriz de Pruebas'!L2:L50,"Pendiente")+COUNTIF('Matriz de Pruebas'!L2:L50,"En Ejecucion")+COUNTIF('Matriz de Pruebas'!L2:L50,"No Aplica")</f>
        <v>49</v>
      </c>
    </row>
    <row r="12" customFormat="false" ht="15" hidden="false" customHeight="false" outlineLevel="0" collapsed="false">
      <c r="B12" s="3" t="s">
        <v>38</v>
      </c>
      <c r="C12" s="18" t="n">
        <f aca="false">IF($C$6=0,0,($C$7+$C$8+$C$9)/$C$6)</f>
        <v>0</v>
      </c>
    </row>
    <row r="13" customFormat="false" ht="15" hidden="false" customHeight="false" outlineLevel="0" collapsed="false">
      <c r="B13" s="3" t="s">
        <v>39</v>
      </c>
      <c r="C13" s="18" t="n">
        <f aca="false">IF(($C$7+$C$8+$C$9)=0,0,$C$7/($C$7+$C$8+$C$9))</f>
        <v>0</v>
      </c>
    </row>
    <row r="15" customFormat="false" ht="15" hidden="false" customHeight="false" outlineLevel="0" collapsed="false">
      <c r="B15" s="9" t="s">
        <v>40</v>
      </c>
      <c r="C15" s="9" t="s">
        <v>41</v>
      </c>
    </row>
    <row r="16" customFormat="false" ht="15" hidden="false" customHeight="false" outlineLevel="0" collapsed="false">
      <c r="B16" s="4" t="s">
        <v>42</v>
      </c>
      <c r="C16" s="10" t="n">
        <f aca="false">$C$7</f>
        <v>0</v>
      </c>
    </row>
    <row r="17" customFormat="false" ht="15" hidden="false" customHeight="false" outlineLevel="0" collapsed="false">
      <c r="B17" s="4" t="s">
        <v>43</v>
      </c>
      <c r="C17" s="10" t="n">
        <f aca="false">$C$8</f>
        <v>0</v>
      </c>
    </row>
    <row r="18" customFormat="false" ht="15" hidden="false" customHeight="false" outlineLevel="0" collapsed="false">
      <c r="B18" s="4" t="s">
        <v>44</v>
      </c>
      <c r="C18" s="10" t="n">
        <f aca="false">$C$9</f>
        <v>0</v>
      </c>
    </row>
    <row r="19" customFormat="false" ht="15" hidden="false" customHeight="false" outlineLevel="0" collapsed="false">
      <c r="B19" s="4" t="s">
        <v>45</v>
      </c>
      <c r="C19" s="10" t="n">
        <f aca="false">$C$10</f>
        <v>49</v>
      </c>
    </row>
    <row r="21" customFormat="false" ht="15" hidden="false" customHeight="false" outlineLevel="0" collapsed="false">
      <c r="B21" s="9" t="s">
        <v>46</v>
      </c>
      <c r="C21" s="9" t="s">
        <v>41</v>
      </c>
    </row>
    <row r="22" customFormat="false" ht="15" hidden="false" customHeight="false" outlineLevel="0" collapsed="false">
      <c r="B22" s="4" t="s">
        <v>47</v>
      </c>
      <c r="C22" s="10" t="n">
        <f aca="false">$C$7+$C$8+$C$9</f>
        <v>0</v>
      </c>
    </row>
    <row r="23" customFormat="false" ht="15" hidden="false" customHeight="false" outlineLevel="0" collapsed="false">
      <c r="B23" s="4" t="s">
        <v>45</v>
      </c>
      <c r="C23" s="10" t="n">
        <f aca="false">$C$10</f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22"/>
    <col collapsed="false" customWidth="true" hidden="false" outlineLevel="0" max="8" min="8" style="0" width="36"/>
    <col collapsed="false" customWidth="true" hidden="false" outlineLevel="0" max="9" min="9" style="0" width="24"/>
    <col collapsed="false" customWidth="true" hidden="false" outlineLevel="0" max="10" min="10" style="0" width="40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30"/>
  </cols>
  <sheetData>
    <row r="1" customFormat="false" ht="26.85" hidden="false" customHeight="false" outlineLevel="0" collapsed="false">
      <c r="A1" s="19" t="s">
        <v>48</v>
      </c>
      <c r="B1" s="19" t="s">
        <v>18</v>
      </c>
      <c r="C1" s="19" t="s">
        <v>49</v>
      </c>
      <c r="D1" s="19" t="s">
        <v>50</v>
      </c>
      <c r="E1" s="19" t="s">
        <v>51</v>
      </c>
      <c r="F1" s="19" t="s">
        <v>52</v>
      </c>
      <c r="G1" s="19" t="s">
        <v>53</v>
      </c>
      <c r="H1" s="19" t="s">
        <v>54</v>
      </c>
      <c r="I1" s="19" t="s">
        <v>55</v>
      </c>
      <c r="J1" s="19" t="s">
        <v>56</v>
      </c>
      <c r="K1" s="19" t="s">
        <v>57</v>
      </c>
      <c r="L1" s="19" t="s">
        <v>40</v>
      </c>
      <c r="M1" s="19" t="s">
        <v>58</v>
      </c>
    </row>
    <row r="2" customFormat="false" ht="75" hidden="false" customHeight="true" outlineLevel="0" collapsed="false">
      <c r="A2" s="20" t="s">
        <v>59</v>
      </c>
      <c r="B2" s="20" t="s">
        <v>20</v>
      </c>
      <c r="C2" s="20" t="s">
        <v>60</v>
      </c>
      <c r="D2" s="21" t="s">
        <v>61</v>
      </c>
      <c r="E2" s="22" t="s">
        <v>62</v>
      </c>
      <c r="F2" s="20" t="s">
        <v>63</v>
      </c>
      <c r="G2" s="20" t="s">
        <v>64</v>
      </c>
      <c r="H2" s="20" t="s">
        <v>65</v>
      </c>
      <c r="I2" s="20" t="s">
        <v>66</v>
      </c>
      <c r="J2" s="20" t="s">
        <v>67</v>
      </c>
      <c r="K2" s="20"/>
      <c r="L2" s="20" t="s">
        <v>68</v>
      </c>
      <c r="M2" s="20" t="s">
        <v>69</v>
      </c>
    </row>
    <row r="3" customFormat="false" ht="75" hidden="false" customHeight="true" outlineLevel="0" collapsed="false">
      <c r="A3" s="20" t="s">
        <v>70</v>
      </c>
      <c r="B3" s="20" t="s">
        <v>20</v>
      </c>
      <c r="C3" s="20" t="s">
        <v>71</v>
      </c>
      <c r="D3" s="23" t="s">
        <v>72</v>
      </c>
      <c r="E3" s="22" t="s">
        <v>62</v>
      </c>
      <c r="F3" s="20" t="s">
        <v>73</v>
      </c>
      <c r="G3" s="20" t="s">
        <v>64</v>
      </c>
      <c r="H3" s="20" t="s">
        <v>74</v>
      </c>
      <c r="I3" s="20" t="s">
        <v>75</v>
      </c>
      <c r="J3" s="20" t="s">
        <v>76</v>
      </c>
      <c r="K3" s="20"/>
      <c r="L3" s="20" t="s">
        <v>68</v>
      </c>
      <c r="M3" s="20"/>
    </row>
    <row r="4" customFormat="false" ht="75" hidden="false" customHeight="true" outlineLevel="0" collapsed="false">
      <c r="A4" s="20" t="s">
        <v>77</v>
      </c>
      <c r="B4" s="20" t="s">
        <v>20</v>
      </c>
      <c r="C4" s="20" t="s">
        <v>78</v>
      </c>
      <c r="D4" s="24" t="s">
        <v>79</v>
      </c>
      <c r="E4" s="22" t="s">
        <v>62</v>
      </c>
      <c r="F4" s="20" t="s">
        <v>80</v>
      </c>
      <c r="G4" s="20" t="s">
        <v>64</v>
      </c>
      <c r="H4" s="20" t="s">
        <v>81</v>
      </c>
      <c r="I4" s="20" t="s">
        <v>82</v>
      </c>
      <c r="J4" s="20" t="s">
        <v>83</v>
      </c>
      <c r="K4" s="20"/>
      <c r="L4" s="20" t="s">
        <v>68</v>
      </c>
      <c r="M4" s="20" t="s">
        <v>84</v>
      </c>
    </row>
    <row r="5" customFormat="false" ht="75" hidden="false" customHeight="true" outlineLevel="0" collapsed="false">
      <c r="A5" s="20" t="s">
        <v>85</v>
      </c>
      <c r="B5" s="20" t="s">
        <v>20</v>
      </c>
      <c r="C5" s="20" t="s">
        <v>86</v>
      </c>
      <c r="D5" s="24" t="s">
        <v>79</v>
      </c>
      <c r="E5" s="25" t="s">
        <v>87</v>
      </c>
      <c r="F5" s="20" t="s">
        <v>88</v>
      </c>
      <c r="G5" s="20" t="s">
        <v>64</v>
      </c>
      <c r="H5" s="20" t="s">
        <v>89</v>
      </c>
      <c r="I5" s="20" t="s">
        <v>90</v>
      </c>
      <c r="J5" s="20" t="s">
        <v>91</v>
      </c>
      <c r="K5" s="20"/>
      <c r="L5" s="20" t="s">
        <v>68</v>
      </c>
      <c r="M5" s="20"/>
    </row>
    <row r="6" customFormat="false" ht="75" hidden="false" customHeight="true" outlineLevel="0" collapsed="false">
      <c r="A6" s="20" t="s">
        <v>92</v>
      </c>
      <c r="B6" s="20" t="s">
        <v>20</v>
      </c>
      <c r="C6" s="20" t="s">
        <v>93</v>
      </c>
      <c r="D6" s="24" t="s">
        <v>79</v>
      </c>
      <c r="E6" s="22" t="s">
        <v>62</v>
      </c>
      <c r="F6" s="20" t="s">
        <v>94</v>
      </c>
      <c r="G6" s="20" t="s">
        <v>64</v>
      </c>
      <c r="H6" s="20" t="s">
        <v>95</v>
      </c>
      <c r="I6" s="20" t="s">
        <v>96</v>
      </c>
      <c r="J6" s="20" t="s">
        <v>97</v>
      </c>
      <c r="K6" s="20"/>
      <c r="L6" s="20" t="s">
        <v>68</v>
      </c>
      <c r="M6" s="20" t="s">
        <v>98</v>
      </c>
    </row>
    <row r="7" customFormat="false" ht="75" hidden="false" customHeight="true" outlineLevel="0" collapsed="false">
      <c r="A7" s="26" t="s">
        <v>99</v>
      </c>
      <c r="B7" s="26" t="s">
        <v>21</v>
      </c>
      <c r="C7" s="26" t="s">
        <v>100</v>
      </c>
      <c r="D7" s="27" t="s">
        <v>61</v>
      </c>
      <c r="E7" s="22" t="s">
        <v>62</v>
      </c>
      <c r="F7" s="26" t="s">
        <v>101</v>
      </c>
      <c r="G7" s="26" t="s">
        <v>64</v>
      </c>
      <c r="H7" s="26" t="s">
        <v>102</v>
      </c>
      <c r="I7" s="26" t="s">
        <v>103</v>
      </c>
      <c r="J7" s="26" t="s">
        <v>104</v>
      </c>
      <c r="K7" s="26"/>
      <c r="L7" s="26" t="s">
        <v>68</v>
      </c>
      <c r="M7" s="26"/>
    </row>
    <row r="8" customFormat="false" ht="75" hidden="false" customHeight="true" outlineLevel="0" collapsed="false">
      <c r="A8" s="26" t="s">
        <v>105</v>
      </c>
      <c r="B8" s="26" t="s">
        <v>21</v>
      </c>
      <c r="C8" s="26" t="s">
        <v>106</v>
      </c>
      <c r="D8" s="28" t="s">
        <v>72</v>
      </c>
      <c r="E8" s="22" t="s">
        <v>62</v>
      </c>
      <c r="F8" s="26" t="s">
        <v>101</v>
      </c>
      <c r="G8" s="26" t="s">
        <v>64</v>
      </c>
      <c r="H8" s="26" t="s">
        <v>107</v>
      </c>
      <c r="I8" s="26" t="s">
        <v>108</v>
      </c>
      <c r="J8" s="26" t="s">
        <v>109</v>
      </c>
      <c r="K8" s="26"/>
      <c r="L8" s="26" t="s">
        <v>68</v>
      </c>
      <c r="M8" s="26"/>
    </row>
    <row r="9" customFormat="false" ht="75" hidden="false" customHeight="true" outlineLevel="0" collapsed="false">
      <c r="A9" s="26" t="s">
        <v>110</v>
      </c>
      <c r="B9" s="26" t="s">
        <v>21</v>
      </c>
      <c r="C9" s="26" t="s">
        <v>111</v>
      </c>
      <c r="D9" s="28" t="s">
        <v>72</v>
      </c>
      <c r="E9" s="25" t="s">
        <v>87</v>
      </c>
      <c r="F9" s="26" t="s">
        <v>101</v>
      </c>
      <c r="G9" s="26" t="s">
        <v>64</v>
      </c>
      <c r="H9" s="26" t="s">
        <v>112</v>
      </c>
      <c r="I9" s="26" t="s">
        <v>113</v>
      </c>
      <c r="J9" s="26" t="s">
        <v>114</v>
      </c>
      <c r="K9" s="26"/>
      <c r="L9" s="26" t="s">
        <v>68</v>
      </c>
      <c r="M9" s="26"/>
    </row>
    <row r="10" customFormat="false" ht="75" hidden="false" customHeight="true" outlineLevel="0" collapsed="false">
      <c r="A10" s="26" t="s">
        <v>115</v>
      </c>
      <c r="B10" s="26" t="s">
        <v>21</v>
      </c>
      <c r="C10" s="26" t="s">
        <v>116</v>
      </c>
      <c r="D10" s="28" t="s">
        <v>72</v>
      </c>
      <c r="E10" s="25" t="s">
        <v>87</v>
      </c>
      <c r="F10" s="26" t="s">
        <v>101</v>
      </c>
      <c r="G10" s="26" t="s">
        <v>64</v>
      </c>
      <c r="H10" s="26" t="s">
        <v>117</v>
      </c>
      <c r="I10" s="26" t="s">
        <v>118</v>
      </c>
      <c r="J10" s="26" t="s">
        <v>119</v>
      </c>
      <c r="K10" s="26"/>
      <c r="L10" s="26" t="s">
        <v>68</v>
      </c>
      <c r="M10" s="26"/>
    </row>
    <row r="11" customFormat="false" ht="75" hidden="false" customHeight="true" outlineLevel="0" collapsed="false">
      <c r="A11" s="26" t="s">
        <v>120</v>
      </c>
      <c r="B11" s="26" t="s">
        <v>21</v>
      </c>
      <c r="C11" s="26" t="s">
        <v>121</v>
      </c>
      <c r="D11" s="28" t="s">
        <v>72</v>
      </c>
      <c r="E11" s="25" t="s">
        <v>87</v>
      </c>
      <c r="F11" s="26" t="s">
        <v>101</v>
      </c>
      <c r="G11" s="26" t="s">
        <v>64</v>
      </c>
      <c r="H11" s="26" t="s">
        <v>122</v>
      </c>
      <c r="I11" s="26" t="s">
        <v>123</v>
      </c>
      <c r="J11" s="26" t="s">
        <v>124</v>
      </c>
      <c r="K11" s="26"/>
      <c r="L11" s="26" t="s">
        <v>68</v>
      </c>
      <c r="M11" s="26"/>
    </row>
    <row r="12" customFormat="false" ht="75" hidden="false" customHeight="true" outlineLevel="0" collapsed="false">
      <c r="A12" s="26" t="s">
        <v>125</v>
      </c>
      <c r="B12" s="26" t="s">
        <v>21</v>
      </c>
      <c r="C12" s="26" t="s">
        <v>126</v>
      </c>
      <c r="D12" s="28" t="s">
        <v>72</v>
      </c>
      <c r="E12" s="29" t="s">
        <v>127</v>
      </c>
      <c r="F12" s="26" t="s">
        <v>101</v>
      </c>
      <c r="G12" s="26" t="s">
        <v>64</v>
      </c>
      <c r="H12" s="26" t="s">
        <v>128</v>
      </c>
      <c r="I12" s="26" t="s">
        <v>129</v>
      </c>
      <c r="J12" s="26" t="s">
        <v>130</v>
      </c>
      <c r="K12" s="26"/>
      <c r="L12" s="26" t="s">
        <v>68</v>
      </c>
      <c r="M12" s="26"/>
    </row>
    <row r="13" customFormat="false" ht="75" hidden="false" customHeight="true" outlineLevel="0" collapsed="false">
      <c r="A13" s="20" t="s">
        <v>131</v>
      </c>
      <c r="B13" s="20" t="s">
        <v>22</v>
      </c>
      <c r="C13" s="20" t="s">
        <v>132</v>
      </c>
      <c r="D13" s="21" t="s">
        <v>61</v>
      </c>
      <c r="E13" s="22" t="s">
        <v>62</v>
      </c>
      <c r="F13" s="20" t="s">
        <v>133</v>
      </c>
      <c r="G13" s="20" t="s">
        <v>64</v>
      </c>
      <c r="H13" s="20" t="s">
        <v>134</v>
      </c>
      <c r="I13" s="20" t="s">
        <v>135</v>
      </c>
      <c r="J13" s="20" t="s">
        <v>136</v>
      </c>
      <c r="K13" s="20"/>
      <c r="L13" s="20" t="s">
        <v>68</v>
      </c>
      <c r="M13" s="20"/>
    </row>
    <row r="14" customFormat="false" ht="75" hidden="false" customHeight="true" outlineLevel="0" collapsed="false">
      <c r="A14" s="20" t="s">
        <v>137</v>
      </c>
      <c r="B14" s="20" t="s">
        <v>22</v>
      </c>
      <c r="C14" s="20" t="s">
        <v>138</v>
      </c>
      <c r="D14" s="23" t="s">
        <v>72</v>
      </c>
      <c r="E14" s="22" t="s">
        <v>62</v>
      </c>
      <c r="F14" s="20" t="s">
        <v>133</v>
      </c>
      <c r="G14" s="20" t="s">
        <v>64</v>
      </c>
      <c r="H14" s="20" t="s">
        <v>139</v>
      </c>
      <c r="I14" s="20" t="s">
        <v>108</v>
      </c>
      <c r="J14" s="20" t="s">
        <v>140</v>
      </c>
      <c r="K14" s="20"/>
      <c r="L14" s="20" t="s">
        <v>68</v>
      </c>
      <c r="M14" s="20"/>
    </row>
    <row r="15" customFormat="false" ht="75" hidden="false" customHeight="true" outlineLevel="0" collapsed="false">
      <c r="A15" s="20" t="s">
        <v>141</v>
      </c>
      <c r="B15" s="20" t="s">
        <v>22</v>
      </c>
      <c r="C15" s="20" t="s">
        <v>142</v>
      </c>
      <c r="D15" s="23" t="s">
        <v>72</v>
      </c>
      <c r="E15" s="25" t="s">
        <v>87</v>
      </c>
      <c r="F15" s="20" t="s">
        <v>133</v>
      </c>
      <c r="G15" s="20" t="s">
        <v>64</v>
      </c>
      <c r="H15" s="20" t="s">
        <v>143</v>
      </c>
      <c r="I15" s="20" t="s">
        <v>144</v>
      </c>
      <c r="J15" s="20" t="s">
        <v>145</v>
      </c>
      <c r="K15" s="20"/>
      <c r="L15" s="20" t="s">
        <v>68</v>
      </c>
      <c r="M15" s="20"/>
    </row>
    <row r="16" customFormat="false" ht="75" hidden="false" customHeight="true" outlineLevel="0" collapsed="false">
      <c r="A16" s="20" t="s">
        <v>146</v>
      </c>
      <c r="B16" s="20" t="s">
        <v>22</v>
      </c>
      <c r="C16" s="20" t="s">
        <v>147</v>
      </c>
      <c r="D16" s="23" t="s">
        <v>72</v>
      </c>
      <c r="E16" s="29" t="s">
        <v>127</v>
      </c>
      <c r="F16" s="20" t="s">
        <v>133</v>
      </c>
      <c r="G16" s="20" t="s">
        <v>64</v>
      </c>
      <c r="H16" s="20" t="s">
        <v>148</v>
      </c>
      <c r="I16" s="20" t="s">
        <v>149</v>
      </c>
      <c r="J16" s="20" t="s">
        <v>150</v>
      </c>
      <c r="K16" s="20"/>
      <c r="L16" s="20" t="s">
        <v>68</v>
      </c>
      <c r="M16" s="20"/>
    </row>
    <row r="17" customFormat="false" ht="75" hidden="false" customHeight="true" outlineLevel="0" collapsed="false">
      <c r="A17" s="20" t="s">
        <v>151</v>
      </c>
      <c r="B17" s="20" t="s">
        <v>22</v>
      </c>
      <c r="C17" s="20" t="s">
        <v>152</v>
      </c>
      <c r="D17" s="24" t="s">
        <v>79</v>
      </c>
      <c r="E17" s="25" t="s">
        <v>87</v>
      </c>
      <c r="F17" s="20" t="s">
        <v>153</v>
      </c>
      <c r="G17" s="20" t="s">
        <v>64</v>
      </c>
      <c r="H17" s="20" t="s">
        <v>154</v>
      </c>
      <c r="I17" s="20" t="s">
        <v>64</v>
      </c>
      <c r="J17" s="20" t="s">
        <v>155</v>
      </c>
      <c r="K17" s="20"/>
      <c r="L17" s="20" t="s">
        <v>68</v>
      </c>
      <c r="M17" s="20"/>
    </row>
    <row r="18" customFormat="false" ht="75" hidden="false" customHeight="true" outlineLevel="0" collapsed="false">
      <c r="A18" s="26" t="s">
        <v>156</v>
      </c>
      <c r="B18" s="26" t="s">
        <v>23</v>
      </c>
      <c r="C18" s="26" t="s">
        <v>157</v>
      </c>
      <c r="D18" s="27" t="s">
        <v>61</v>
      </c>
      <c r="E18" s="22" t="s">
        <v>62</v>
      </c>
      <c r="F18" s="26" t="s">
        <v>158</v>
      </c>
      <c r="G18" s="26" t="s">
        <v>159</v>
      </c>
      <c r="H18" s="26" t="s">
        <v>160</v>
      </c>
      <c r="I18" s="26" t="s">
        <v>161</v>
      </c>
      <c r="J18" s="26" t="s">
        <v>162</v>
      </c>
      <c r="K18" s="26"/>
      <c r="L18" s="26" t="s">
        <v>68</v>
      </c>
      <c r="M18" s="26"/>
    </row>
    <row r="19" customFormat="false" ht="75" hidden="false" customHeight="true" outlineLevel="0" collapsed="false">
      <c r="A19" s="26" t="s">
        <v>163</v>
      </c>
      <c r="B19" s="26" t="s">
        <v>23</v>
      </c>
      <c r="C19" s="26" t="s">
        <v>164</v>
      </c>
      <c r="D19" s="28" t="s">
        <v>72</v>
      </c>
      <c r="E19" s="22" t="s">
        <v>62</v>
      </c>
      <c r="F19" s="26" t="s">
        <v>158</v>
      </c>
      <c r="G19" s="26" t="s">
        <v>165</v>
      </c>
      <c r="H19" s="26" t="s">
        <v>166</v>
      </c>
      <c r="I19" s="26" t="s">
        <v>108</v>
      </c>
      <c r="J19" s="26" t="s">
        <v>140</v>
      </c>
      <c r="K19" s="26"/>
      <c r="L19" s="26" t="s">
        <v>68</v>
      </c>
      <c r="M19" s="26"/>
    </row>
    <row r="20" customFormat="false" ht="75" hidden="false" customHeight="true" outlineLevel="0" collapsed="false">
      <c r="A20" s="26" t="s">
        <v>167</v>
      </c>
      <c r="B20" s="26" t="s">
        <v>23</v>
      </c>
      <c r="C20" s="26" t="s">
        <v>168</v>
      </c>
      <c r="D20" s="28" t="s">
        <v>72</v>
      </c>
      <c r="E20" s="22" t="s">
        <v>62</v>
      </c>
      <c r="F20" s="26" t="s">
        <v>158</v>
      </c>
      <c r="G20" s="26" t="s">
        <v>165</v>
      </c>
      <c r="H20" s="26" t="s">
        <v>169</v>
      </c>
      <c r="I20" s="26" t="s">
        <v>170</v>
      </c>
      <c r="J20" s="26" t="s">
        <v>171</v>
      </c>
      <c r="K20" s="26"/>
      <c r="L20" s="26" t="s">
        <v>68</v>
      </c>
      <c r="M20" s="26"/>
    </row>
    <row r="21" customFormat="false" ht="75" hidden="false" customHeight="true" outlineLevel="0" collapsed="false">
      <c r="A21" s="26" t="s">
        <v>172</v>
      </c>
      <c r="B21" s="26" t="s">
        <v>23</v>
      </c>
      <c r="C21" s="26" t="s">
        <v>173</v>
      </c>
      <c r="D21" s="28" t="s">
        <v>72</v>
      </c>
      <c r="E21" s="22" t="s">
        <v>62</v>
      </c>
      <c r="F21" s="26" t="s">
        <v>158</v>
      </c>
      <c r="G21" s="26" t="s">
        <v>165</v>
      </c>
      <c r="H21" s="26" t="s">
        <v>174</v>
      </c>
      <c r="I21" s="26" t="s">
        <v>175</v>
      </c>
      <c r="J21" s="26" t="s">
        <v>176</v>
      </c>
      <c r="K21" s="26"/>
      <c r="L21" s="26" t="s">
        <v>68</v>
      </c>
      <c r="M21" s="26"/>
    </row>
    <row r="22" customFormat="false" ht="75" hidden="false" customHeight="true" outlineLevel="0" collapsed="false">
      <c r="A22" s="26" t="s">
        <v>177</v>
      </c>
      <c r="B22" s="26" t="s">
        <v>23</v>
      </c>
      <c r="C22" s="26" t="s">
        <v>178</v>
      </c>
      <c r="D22" s="28" t="s">
        <v>72</v>
      </c>
      <c r="E22" s="22" t="s">
        <v>62</v>
      </c>
      <c r="F22" s="26" t="s">
        <v>158</v>
      </c>
      <c r="G22" s="26" t="s">
        <v>165</v>
      </c>
      <c r="H22" s="26" t="s">
        <v>179</v>
      </c>
      <c r="I22" s="26" t="s">
        <v>180</v>
      </c>
      <c r="J22" s="26" t="s">
        <v>181</v>
      </c>
      <c r="K22" s="26"/>
      <c r="L22" s="26" t="s">
        <v>68</v>
      </c>
      <c r="M22" s="26"/>
    </row>
    <row r="23" customFormat="false" ht="75" hidden="false" customHeight="true" outlineLevel="0" collapsed="false">
      <c r="A23" s="26" t="s">
        <v>182</v>
      </c>
      <c r="B23" s="26" t="s">
        <v>23</v>
      </c>
      <c r="C23" s="26" t="s">
        <v>183</v>
      </c>
      <c r="D23" s="28" t="s">
        <v>72</v>
      </c>
      <c r="E23" s="25" t="s">
        <v>87</v>
      </c>
      <c r="F23" s="26" t="s">
        <v>158</v>
      </c>
      <c r="G23" s="26" t="s">
        <v>165</v>
      </c>
      <c r="H23" s="26" t="s">
        <v>184</v>
      </c>
      <c r="I23" s="26" t="s">
        <v>185</v>
      </c>
      <c r="J23" s="26" t="s">
        <v>186</v>
      </c>
      <c r="K23" s="26"/>
      <c r="L23" s="26" t="s">
        <v>68</v>
      </c>
      <c r="M23" s="26"/>
    </row>
    <row r="24" customFormat="false" ht="75" hidden="false" customHeight="true" outlineLevel="0" collapsed="false">
      <c r="A24" s="26" t="s">
        <v>187</v>
      </c>
      <c r="B24" s="26" t="s">
        <v>23</v>
      </c>
      <c r="C24" s="26" t="s">
        <v>188</v>
      </c>
      <c r="D24" s="28" t="s">
        <v>72</v>
      </c>
      <c r="E24" s="22" t="s">
        <v>62</v>
      </c>
      <c r="F24" s="26" t="s">
        <v>189</v>
      </c>
      <c r="G24" s="26" t="s">
        <v>190</v>
      </c>
      <c r="H24" s="26" t="s">
        <v>191</v>
      </c>
      <c r="I24" s="26" t="s">
        <v>192</v>
      </c>
      <c r="J24" s="26" t="s">
        <v>193</v>
      </c>
      <c r="K24" s="26"/>
      <c r="L24" s="26" t="s">
        <v>68</v>
      </c>
      <c r="M24" s="26"/>
    </row>
    <row r="25" customFormat="false" ht="75" hidden="false" customHeight="true" outlineLevel="0" collapsed="false">
      <c r="A25" s="26" t="s">
        <v>194</v>
      </c>
      <c r="B25" s="26" t="s">
        <v>23</v>
      </c>
      <c r="C25" s="26" t="s">
        <v>195</v>
      </c>
      <c r="D25" s="27" t="s">
        <v>61</v>
      </c>
      <c r="E25" s="29" t="s">
        <v>127</v>
      </c>
      <c r="F25" s="26" t="s">
        <v>158</v>
      </c>
      <c r="G25" s="26" t="s">
        <v>64</v>
      </c>
      <c r="H25" s="26" t="s">
        <v>196</v>
      </c>
      <c r="I25" s="26" t="s">
        <v>64</v>
      </c>
      <c r="J25" s="26" t="s">
        <v>197</v>
      </c>
      <c r="K25" s="26"/>
      <c r="L25" s="26" t="s">
        <v>68</v>
      </c>
      <c r="M25" s="26"/>
    </row>
    <row r="26" customFormat="false" ht="75" hidden="false" customHeight="true" outlineLevel="0" collapsed="false">
      <c r="A26" s="20" t="s">
        <v>198</v>
      </c>
      <c r="B26" s="20" t="s">
        <v>24</v>
      </c>
      <c r="C26" s="20" t="s">
        <v>199</v>
      </c>
      <c r="D26" s="21" t="s">
        <v>61</v>
      </c>
      <c r="E26" s="22" t="s">
        <v>62</v>
      </c>
      <c r="F26" s="20" t="s">
        <v>200</v>
      </c>
      <c r="G26" s="20" t="s">
        <v>201</v>
      </c>
      <c r="H26" s="20" t="s">
        <v>202</v>
      </c>
      <c r="I26" s="20" t="s">
        <v>203</v>
      </c>
      <c r="J26" s="20" t="s">
        <v>204</v>
      </c>
      <c r="K26" s="20"/>
      <c r="L26" s="20" t="s">
        <v>68</v>
      </c>
      <c r="M26" s="20"/>
    </row>
    <row r="27" customFormat="false" ht="75" hidden="false" customHeight="true" outlineLevel="0" collapsed="false">
      <c r="A27" s="20" t="s">
        <v>205</v>
      </c>
      <c r="B27" s="20" t="s">
        <v>24</v>
      </c>
      <c r="C27" s="20" t="s">
        <v>206</v>
      </c>
      <c r="D27" s="21" t="s">
        <v>61</v>
      </c>
      <c r="E27" s="22" t="s">
        <v>62</v>
      </c>
      <c r="F27" s="20" t="s">
        <v>200</v>
      </c>
      <c r="G27" s="20" t="s">
        <v>207</v>
      </c>
      <c r="H27" s="20" t="s">
        <v>208</v>
      </c>
      <c r="I27" s="20" t="s">
        <v>209</v>
      </c>
      <c r="J27" s="20" t="s">
        <v>210</v>
      </c>
      <c r="K27" s="20"/>
      <c r="L27" s="20" t="s">
        <v>68</v>
      </c>
      <c r="M27" s="20"/>
    </row>
    <row r="28" customFormat="false" ht="75" hidden="false" customHeight="true" outlineLevel="0" collapsed="false">
      <c r="A28" s="20" t="s">
        <v>211</v>
      </c>
      <c r="B28" s="20" t="s">
        <v>24</v>
      </c>
      <c r="C28" s="20" t="s">
        <v>212</v>
      </c>
      <c r="D28" s="24" t="s">
        <v>79</v>
      </c>
      <c r="E28" s="22" t="s">
        <v>62</v>
      </c>
      <c r="F28" s="20" t="s">
        <v>213</v>
      </c>
      <c r="G28" s="20" t="s">
        <v>214</v>
      </c>
      <c r="H28" s="20" t="s">
        <v>215</v>
      </c>
      <c r="I28" s="20" t="s">
        <v>64</v>
      </c>
      <c r="J28" s="20" t="s">
        <v>216</v>
      </c>
      <c r="K28" s="20"/>
      <c r="L28" s="20" t="s">
        <v>68</v>
      </c>
      <c r="M28" s="20" t="s">
        <v>217</v>
      </c>
    </row>
    <row r="29" customFormat="false" ht="75" hidden="false" customHeight="true" outlineLevel="0" collapsed="false">
      <c r="A29" s="20" t="s">
        <v>218</v>
      </c>
      <c r="B29" s="20" t="s">
        <v>24</v>
      </c>
      <c r="C29" s="20" t="s">
        <v>219</v>
      </c>
      <c r="D29" s="24" t="s">
        <v>79</v>
      </c>
      <c r="E29" s="25" t="s">
        <v>87</v>
      </c>
      <c r="F29" s="20" t="s">
        <v>213</v>
      </c>
      <c r="G29" s="20" t="s">
        <v>214</v>
      </c>
      <c r="H29" s="20" t="s">
        <v>220</v>
      </c>
      <c r="I29" s="20" t="s">
        <v>64</v>
      </c>
      <c r="J29" s="20" t="s">
        <v>221</v>
      </c>
      <c r="K29" s="20"/>
      <c r="L29" s="20" t="s">
        <v>68</v>
      </c>
      <c r="M29" s="20"/>
    </row>
    <row r="30" customFormat="false" ht="75" hidden="false" customHeight="true" outlineLevel="0" collapsed="false">
      <c r="A30" s="26" t="s">
        <v>222</v>
      </c>
      <c r="B30" s="26" t="s">
        <v>25</v>
      </c>
      <c r="C30" s="26" t="s">
        <v>223</v>
      </c>
      <c r="D30" s="27" t="s">
        <v>61</v>
      </c>
      <c r="E30" s="22" t="s">
        <v>62</v>
      </c>
      <c r="F30" s="26" t="s">
        <v>224</v>
      </c>
      <c r="G30" s="26" t="s">
        <v>225</v>
      </c>
      <c r="H30" s="26" t="s">
        <v>226</v>
      </c>
      <c r="I30" s="26" t="s">
        <v>64</v>
      </c>
      <c r="J30" s="26" t="s">
        <v>227</v>
      </c>
      <c r="K30" s="26"/>
      <c r="L30" s="26" t="s">
        <v>68</v>
      </c>
      <c r="M30" s="26"/>
    </row>
    <row r="31" customFormat="false" ht="75" hidden="false" customHeight="true" outlineLevel="0" collapsed="false">
      <c r="A31" s="26" t="s">
        <v>228</v>
      </c>
      <c r="B31" s="26" t="s">
        <v>25</v>
      </c>
      <c r="C31" s="26" t="s">
        <v>229</v>
      </c>
      <c r="D31" s="27" t="s">
        <v>61</v>
      </c>
      <c r="E31" s="25" t="s">
        <v>87</v>
      </c>
      <c r="F31" s="26" t="s">
        <v>224</v>
      </c>
      <c r="G31" s="26" t="s">
        <v>225</v>
      </c>
      <c r="H31" s="26" t="s">
        <v>230</v>
      </c>
      <c r="I31" s="26" t="s">
        <v>64</v>
      </c>
      <c r="J31" s="26" t="s">
        <v>231</v>
      </c>
      <c r="K31" s="26"/>
      <c r="L31" s="26" t="s">
        <v>68</v>
      </c>
      <c r="M31" s="26" t="s">
        <v>232</v>
      </c>
    </row>
    <row r="32" customFormat="false" ht="75" hidden="false" customHeight="true" outlineLevel="0" collapsed="false">
      <c r="A32" s="26" t="s">
        <v>233</v>
      </c>
      <c r="B32" s="26" t="s">
        <v>25</v>
      </c>
      <c r="C32" s="26" t="s">
        <v>234</v>
      </c>
      <c r="D32" s="27" t="s">
        <v>61</v>
      </c>
      <c r="E32" s="29" t="s">
        <v>127</v>
      </c>
      <c r="F32" s="26" t="s">
        <v>224</v>
      </c>
      <c r="G32" s="26" t="s">
        <v>225</v>
      </c>
      <c r="H32" s="26" t="s">
        <v>235</v>
      </c>
      <c r="I32" s="26" t="s">
        <v>64</v>
      </c>
      <c r="J32" s="26" t="s">
        <v>236</v>
      </c>
      <c r="K32" s="26"/>
      <c r="L32" s="26" t="s">
        <v>68</v>
      </c>
      <c r="M32" s="26"/>
    </row>
    <row r="33" customFormat="false" ht="75" hidden="false" customHeight="true" outlineLevel="0" collapsed="false">
      <c r="A33" s="20" t="s">
        <v>237</v>
      </c>
      <c r="B33" s="20" t="s">
        <v>26</v>
      </c>
      <c r="C33" s="20" t="s">
        <v>238</v>
      </c>
      <c r="D33" s="23" t="s">
        <v>72</v>
      </c>
      <c r="E33" s="22" t="s">
        <v>62</v>
      </c>
      <c r="F33" s="20" t="s">
        <v>239</v>
      </c>
      <c r="G33" s="20" t="s">
        <v>225</v>
      </c>
      <c r="H33" s="20" t="s">
        <v>240</v>
      </c>
      <c r="I33" s="20" t="s">
        <v>241</v>
      </c>
      <c r="J33" s="20" t="s">
        <v>242</v>
      </c>
      <c r="K33" s="20"/>
      <c r="L33" s="20" t="s">
        <v>68</v>
      </c>
      <c r="M33" s="20"/>
    </row>
    <row r="34" customFormat="false" ht="75" hidden="false" customHeight="true" outlineLevel="0" collapsed="false">
      <c r="A34" s="20" t="s">
        <v>243</v>
      </c>
      <c r="B34" s="20" t="s">
        <v>26</v>
      </c>
      <c r="C34" s="20" t="s">
        <v>244</v>
      </c>
      <c r="D34" s="21" t="s">
        <v>61</v>
      </c>
      <c r="E34" s="22" t="s">
        <v>62</v>
      </c>
      <c r="F34" s="20" t="s">
        <v>239</v>
      </c>
      <c r="G34" s="20" t="s">
        <v>64</v>
      </c>
      <c r="H34" s="20" t="s">
        <v>245</v>
      </c>
      <c r="I34" s="20" t="s">
        <v>64</v>
      </c>
      <c r="J34" s="20" t="s">
        <v>246</v>
      </c>
      <c r="K34" s="20"/>
      <c r="L34" s="20" t="s">
        <v>68</v>
      </c>
      <c r="M34" s="20"/>
    </row>
    <row r="35" customFormat="false" ht="75" hidden="false" customHeight="true" outlineLevel="0" collapsed="false">
      <c r="A35" s="20" t="s">
        <v>247</v>
      </c>
      <c r="B35" s="20" t="s">
        <v>26</v>
      </c>
      <c r="C35" s="20" t="s">
        <v>248</v>
      </c>
      <c r="D35" s="21" t="s">
        <v>61</v>
      </c>
      <c r="E35" s="22" t="s">
        <v>62</v>
      </c>
      <c r="F35" s="20" t="s">
        <v>249</v>
      </c>
      <c r="G35" s="20" t="s">
        <v>250</v>
      </c>
      <c r="H35" s="20" t="s">
        <v>251</v>
      </c>
      <c r="I35" s="20" t="s">
        <v>252</v>
      </c>
      <c r="J35" s="20" t="s">
        <v>253</v>
      </c>
      <c r="K35" s="20"/>
      <c r="L35" s="20" t="s">
        <v>68</v>
      </c>
      <c r="M35" s="20"/>
    </row>
    <row r="36" customFormat="false" ht="75" hidden="false" customHeight="true" outlineLevel="0" collapsed="false">
      <c r="A36" s="20" t="s">
        <v>254</v>
      </c>
      <c r="B36" s="20" t="s">
        <v>26</v>
      </c>
      <c r="C36" s="20" t="s">
        <v>255</v>
      </c>
      <c r="D36" s="24" t="s">
        <v>79</v>
      </c>
      <c r="E36" s="25" t="s">
        <v>87</v>
      </c>
      <c r="F36" s="20" t="s">
        <v>256</v>
      </c>
      <c r="G36" s="20" t="s">
        <v>64</v>
      </c>
      <c r="H36" s="20" t="s">
        <v>257</v>
      </c>
      <c r="I36" s="20" t="s">
        <v>258</v>
      </c>
      <c r="J36" s="20" t="s">
        <v>259</v>
      </c>
      <c r="K36" s="20"/>
      <c r="L36" s="20" t="s">
        <v>68</v>
      </c>
      <c r="M36" s="20"/>
    </row>
    <row r="37" customFormat="false" ht="75" hidden="false" customHeight="true" outlineLevel="0" collapsed="false">
      <c r="A37" s="26" t="s">
        <v>260</v>
      </c>
      <c r="B37" s="26" t="s">
        <v>27</v>
      </c>
      <c r="C37" s="26" t="s">
        <v>261</v>
      </c>
      <c r="D37" s="30" t="s">
        <v>79</v>
      </c>
      <c r="E37" s="22" t="s">
        <v>62</v>
      </c>
      <c r="F37" s="26" t="s">
        <v>262</v>
      </c>
      <c r="G37" s="26" t="s">
        <v>64</v>
      </c>
      <c r="H37" s="26" t="s">
        <v>263</v>
      </c>
      <c r="I37" s="26" t="s">
        <v>64</v>
      </c>
      <c r="J37" s="26" t="s">
        <v>264</v>
      </c>
      <c r="K37" s="26"/>
      <c r="L37" s="26" t="s">
        <v>68</v>
      </c>
      <c r="M37" s="26"/>
    </row>
    <row r="38" customFormat="false" ht="75" hidden="false" customHeight="true" outlineLevel="0" collapsed="false">
      <c r="A38" s="26" t="s">
        <v>265</v>
      </c>
      <c r="B38" s="26" t="s">
        <v>27</v>
      </c>
      <c r="C38" s="26" t="s">
        <v>266</v>
      </c>
      <c r="D38" s="30" t="s">
        <v>79</v>
      </c>
      <c r="E38" s="22" t="s">
        <v>62</v>
      </c>
      <c r="F38" s="26" t="s">
        <v>267</v>
      </c>
      <c r="G38" s="26" t="s">
        <v>268</v>
      </c>
      <c r="H38" s="26" t="s">
        <v>269</v>
      </c>
      <c r="I38" s="26" t="s">
        <v>64</v>
      </c>
      <c r="J38" s="26" t="s">
        <v>270</v>
      </c>
      <c r="K38" s="26"/>
      <c r="L38" s="26" t="s">
        <v>68</v>
      </c>
      <c r="M38" s="26" t="s">
        <v>271</v>
      </c>
    </row>
    <row r="39" customFormat="false" ht="75" hidden="false" customHeight="true" outlineLevel="0" collapsed="false">
      <c r="A39" s="26" t="s">
        <v>272</v>
      </c>
      <c r="B39" s="26" t="s">
        <v>27</v>
      </c>
      <c r="C39" s="26" t="s">
        <v>273</v>
      </c>
      <c r="D39" s="30" t="s">
        <v>79</v>
      </c>
      <c r="E39" s="22" t="s">
        <v>62</v>
      </c>
      <c r="F39" s="26" t="s">
        <v>274</v>
      </c>
      <c r="G39" s="26" t="s">
        <v>64</v>
      </c>
      <c r="H39" s="26" t="s">
        <v>275</v>
      </c>
      <c r="I39" s="26" t="s">
        <v>64</v>
      </c>
      <c r="J39" s="26" t="s">
        <v>276</v>
      </c>
      <c r="K39" s="26"/>
      <c r="L39" s="26" t="s">
        <v>68</v>
      </c>
      <c r="M39" s="26"/>
    </row>
    <row r="40" customFormat="false" ht="75" hidden="false" customHeight="true" outlineLevel="0" collapsed="false">
      <c r="A40" s="26" t="s">
        <v>277</v>
      </c>
      <c r="B40" s="26" t="s">
        <v>27</v>
      </c>
      <c r="C40" s="26" t="s">
        <v>278</v>
      </c>
      <c r="D40" s="30" t="s">
        <v>79</v>
      </c>
      <c r="E40" s="22" t="s">
        <v>62</v>
      </c>
      <c r="F40" s="26" t="s">
        <v>224</v>
      </c>
      <c r="G40" s="26" t="s">
        <v>64</v>
      </c>
      <c r="H40" s="26" t="s">
        <v>279</v>
      </c>
      <c r="I40" s="26" t="s">
        <v>64</v>
      </c>
      <c r="J40" s="26" t="s">
        <v>280</v>
      </c>
      <c r="K40" s="26"/>
      <c r="L40" s="26" t="s">
        <v>68</v>
      </c>
      <c r="M40" s="26"/>
    </row>
    <row r="41" customFormat="false" ht="75" hidden="false" customHeight="true" outlineLevel="0" collapsed="false">
      <c r="A41" s="26" t="s">
        <v>281</v>
      </c>
      <c r="B41" s="26" t="s">
        <v>27</v>
      </c>
      <c r="C41" s="26" t="s">
        <v>282</v>
      </c>
      <c r="D41" s="30" t="s">
        <v>79</v>
      </c>
      <c r="E41" s="22" t="s">
        <v>62</v>
      </c>
      <c r="F41" s="26" t="s">
        <v>267</v>
      </c>
      <c r="G41" s="26" t="s">
        <v>268</v>
      </c>
      <c r="H41" s="26" t="s">
        <v>283</v>
      </c>
      <c r="I41" s="26" t="s">
        <v>64</v>
      </c>
      <c r="J41" s="26" t="s">
        <v>284</v>
      </c>
      <c r="K41" s="26"/>
      <c r="L41" s="26" t="s">
        <v>68</v>
      </c>
      <c r="M41" s="26"/>
    </row>
    <row r="42" customFormat="false" ht="75" hidden="false" customHeight="true" outlineLevel="0" collapsed="false">
      <c r="A42" s="26" t="s">
        <v>285</v>
      </c>
      <c r="B42" s="26" t="s">
        <v>27</v>
      </c>
      <c r="C42" s="26" t="s">
        <v>286</v>
      </c>
      <c r="D42" s="30" t="s">
        <v>79</v>
      </c>
      <c r="E42" s="25" t="s">
        <v>87</v>
      </c>
      <c r="F42" s="26" t="s">
        <v>287</v>
      </c>
      <c r="G42" s="26" t="s">
        <v>64</v>
      </c>
      <c r="H42" s="26" t="s">
        <v>288</v>
      </c>
      <c r="I42" s="26" t="s">
        <v>64</v>
      </c>
      <c r="J42" s="26" t="s">
        <v>289</v>
      </c>
      <c r="K42" s="26"/>
      <c r="L42" s="26" t="s">
        <v>68</v>
      </c>
      <c r="M42" s="26"/>
    </row>
    <row r="43" customFormat="false" ht="75" hidden="false" customHeight="true" outlineLevel="0" collapsed="false">
      <c r="A43" s="26" t="s">
        <v>290</v>
      </c>
      <c r="B43" s="26" t="s">
        <v>27</v>
      </c>
      <c r="C43" s="26" t="s">
        <v>291</v>
      </c>
      <c r="D43" s="30" t="s">
        <v>79</v>
      </c>
      <c r="E43" s="22" t="s">
        <v>62</v>
      </c>
      <c r="F43" s="26" t="s">
        <v>292</v>
      </c>
      <c r="G43" s="26" t="s">
        <v>268</v>
      </c>
      <c r="H43" s="26" t="s">
        <v>293</v>
      </c>
      <c r="I43" s="26" t="s">
        <v>64</v>
      </c>
      <c r="J43" s="26" t="s">
        <v>294</v>
      </c>
      <c r="K43" s="26"/>
      <c r="L43" s="26" t="s">
        <v>68</v>
      </c>
      <c r="M43" s="26"/>
    </row>
    <row r="44" customFormat="false" ht="75" hidden="false" customHeight="true" outlineLevel="0" collapsed="false">
      <c r="A44" s="26" t="s">
        <v>295</v>
      </c>
      <c r="B44" s="26" t="s">
        <v>27</v>
      </c>
      <c r="C44" s="26" t="s">
        <v>296</v>
      </c>
      <c r="D44" s="30" t="s">
        <v>79</v>
      </c>
      <c r="E44" s="22" t="s">
        <v>62</v>
      </c>
      <c r="F44" s="26" t="s">
        <v>158</v>
      </c>
      <c r="G44" s="26" t="s">
        <v>268</v>
      </c>
      <c r="H44" s="26" t="s">
        <v>297</v>
      </c>
      <c r="I44" s="26" t="s">
        <v>64</v>
      </c>
      <c r="J44" s="26" t="s">
        <v>298</v>
      </c>
      <c r="K44" s="26"/>
      <c r="L44" s="26" t="s">
        <v>68</v>
      </c>
      <c r="M44" s="26" t="s">
        <v>299</v>
      </c>
    </row>
    <row r="45" customFormat="false" ht="75" hidden="false" customHeight="true" outlineLevel="0" collapsed="false">
      <c r="A45" s="26" t="s">
        <v>300</v>
      </c>
      <c r="B45" s="26" t="s">
        <v>27</v>
      </c>
      <c r="C45" s="26" t="s">
        <v>301</v>
      </c>
      <c r="D45" s="30" t="s">
        <v>79</v>
      </c>
      <c r="E45" s="25" t="s">
        <v>87</v>
      </c>
      <c r="F45" s="26" t="s">
        <v>274</v>
      </c>
      <c r="G45" s="26" t="s">
        <v>64</v>
      </c>
      <c r="H45" s="26" t="s">
        <v>302</v>
      </c>
      <c r="I45" s="26" t="s">
        <v>64</v>
      </c>
      <c r="J45" s="26" t="s">
        <v>303</v>
      </c>
      <c r="K45" s="26"/>
      <c r="L45" s="26" t="s">
        <v>68</v>
      </c>
      <c r="M45" s="26" t="s">
        <v>304</v>
      </c>
    </row>
    <row r="46" customFormat="false" ht="75" hidden="false" customHeight="true" outlineLevel="0" collapsed="false">
      <c r="A46" s="26" t="s">
        <v>305</v>
      </c>
      <c r="B46" s="26" t="s">
        <v>27</v>
      </c>
      <c r="C46" s="26" t="s">
        <v>306</v>
      </c>
      <c r="D46" s="30" t="s">
        <v>79</v>
      </c>
      <c r="E46" s="25" t="s">
        <v>87</v>
      </c>
      <c r="F46" s="26" t="s">
        <v>307</v>
      </c>
      <c r="G46" s="26" t="s">
        <v>64</v>
      </c>
      <c r="H46" s="26" t="s">
        <v>308</v>
      </c>
      <c r="I46" s="26" t="s">
        <v>64</v>
      </c>
      <c r="J46" s="26" t="s">
        <v>309</v>
      </c>
      <c r="K46" s="26"/>
      <c r="L46" s="26" t="s">
        <v>68</v>
      </c>
      <c r="M46" s="26"/>
    </row>
    <row r="47" customFormat="false" ht="75" hidden="false" customHeight="true" outlineLevel="0" collapsed="false">
      <c r="A47" s="26" t="s">
        <v>310</v>
      </c>
      <c r="B47" s="26" t="s">
        <v>27</v>
      </c>
      <c r="C47" s="26" t="s">
        <v>311</v>
      </c>
      <c r="D47" s="30" t="s">
        <v>79</v>
      </c>
      <c r="E47" s="29" t="s">
        <v>127</v>
      </c>
      <c r="F47" s="26" t="s">
        <v>101</v>
      </c>
      <c r="G47" s="26" t="s">
        <v>64</v>
      </c>
      <c r="H47" s="26" t="s">
        <v>312</v>
      </c>
      <c r="I47" s="26" t="s">
        <v>313</v>
      </c>
      <c r="J47" s="26" t="s">
        <v>314</v>
      </c>
      <c r="K47" s="26"/>
      <c r="L47" s="26" t="s">
        <v>68</v>
      </c>
      <c r="M47" s="26"/>
    </row>
    <row r="48" customFormat="false" ht="75" hidden="false" customHeight="true" outlineLevel="0" collapsed="false">
      <c r="A48" s="20" t="s">
        <v>315</v>
      </c>
      <c r="B48" s="20" t="s">
        <v>28</v>
      </c>
      <c r="C48" s="20" t="s">
        <v>316</v>
      </c>
      <c r="D48" s="21" t="s">
        <v>61</v>
      </c>
      <c r="E48" s="25" t="s">
        <v>87</v>
      </c>
      <c r="F48" s="20" t="s">
        <v>63</v>
      </c>
      <c r="G48" s="20" t="s">
        <v>64</v>
      </c>
      <c r="H48" s="20" t="s">
        <v>317</v>
      </c>
      <c r="I48" s="20" t="s">
        <v>318</v>
      </c>
      <c r="J48" s="20" t="s">
        <v>319</v>
      </c>
      <c r="K48" s="20"/>
      <c r="L48" s="20" t="s">
        <v>68</v>
      </c>
      <c r="M48" s="20"/>
    </row>
    <row r="49" customFormat="false" ht="75" hidden="false" customHeight="true" outlineLevel="0" collapsed="false">
      <c r="A49" s="20" t="s">
        <v>320</v>
      </c>
      <c r="B49" s="20" t="s">
        <v>28</v>
      </c>
      <c r="C49" s="20" t="s">
        <v>321</v>
      </c>
      <c r="D49" s="21" t="s">
        <v>61</v>
      </c>
      <c r="E49" s="22" t="s">
        <v>62</v>
      </c>
      <c r="F49" s="20" t="s">
        <v>63</v>
      </c>
      <c r="G49" s="20" t="s">
        <v>64</v>
      </c>
      <c r="H49" s="20" t="s">
        <v>322</v>
      </c>
      <c r="I49" s="20" t="s">
        <v>323</v>
      </c>
      <c r="J49" s="20" t="s">
        <v>324</v>
      </c>
      <c r="K49" s="20"/>
      <c r="L49" s="20" t="s">
        <v>68</v>
      </c>
      <c r="M49" s="20"/>
    </row>
    <row r="50" customFormat="false" ht="75" hidden="false" customHeight="true" outlineLevel="0" collapsed="false">
      <c r="A50" s="20" t="s">
        <v>325</v>
      </c>
      <c r="B50" s="20" t="s">
        <v>28</v>
      </c>
      <c r="C50" s="20" t="s">
        <v>326</v>
      </c>
      <c r="D50" s="21" t="s">
        <v>61</v>
      </c>
      <c r="E50" s="25" t="s">
        <v>87</v>
      </c>
      <c r="F50" s="20" t="s">
        <v>63</v>
      </c>
      <c r="G50" s="20" t="s">
        <v>64</v>
      </c>
      <c r="H50" s="20" t="s">
        <v>327</v>
      </c>
      <c r="I50" s="20" t="s">
        <v>64</v>
      </c>
      <c r="J50" s="20" t="s">
        <v>328</v>
      </c>
      <c r="K50" s="20"/>
      <c r="L50" s="20" t="s">
        <v>68</v>
      </c>
      <c r="M50" s="20"/>
    </row>
  </sheetData>
  <autoFilter ref="A1:M50"/>
  <dataValidations count="1">
    <dataValidation allowBlank="true" errorStyle="stop" operator="between" showDropDown="false" showErrorMessage="false" showInputMessage="false" sqref="L2:L50" type="list">
      <formula1>"Pendiente,En Ejecucion,Aprobado,Fallido,Bloqueado,No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2026-09-25T18:30:50Z</dcterms:created>
  <dc:creator>openpyxl</dc:creator>
  <dc:description/>
  <dc:language>en-US</dc:language>
  <cp:lastModifiedBy/>
  <dcterms:modified xsi:type="dcterms:W3CDTF">2026-09-25T12:30:55Z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
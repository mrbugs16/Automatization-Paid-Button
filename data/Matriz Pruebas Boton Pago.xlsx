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ortada" sheetId="1" state="visible" r:id="rId1"/>
    <sheet name="Dashboard" sheetId="2" state="visible" r:id="rId2"/>
    <sheet name="Matriz de Pruebas" sheetId="3" state="visible" r:id="rId3"/>
  </sheets>
  <definedNames>
    <definedName name="_xlnm._FilterDatabase" localSheetId="2" hidden="1">'Matriz de Pruebas'!$A$1:$M$70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20"/>
    </font>
    <font>
      <name val="Arial"/>
      <charset val="1"/>
      <family val="0"/>
      <i val="1"/>
      <color rgb="FF595959"/>
      <sz val="12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F3864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sz val="10"/>
    </font>
    <font>
      <name val="Arial"/>
      <charset val="1"/>
      <family val="0"/>
      <color rgb="FF1E7B34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B45F06"/>
      <sz val="10"/>
    </font>
  </fonts>
  <fills count="11">
    <fill>
      <patternFill/>
    </fill>
    <fill>
      <patternFill patternType="gray125"/>
    </fill>
    <fill>
      <patternFill patternType="solid">
        <fgColor rgb="FFF4CCCC"/>
        <bgColor rgb="FFD9D9D9"/>
      </patternFill>
    </fill>
    <fill>
      <patternFill patternType="solid">
        <fgColor rgb="FFE2EFDA"/>
        <bgColor rgb="FFE4F5E1"/>
      </patternFill>
    </fill>
    <fill>
      <patternFill patternType="solid">
        <fgColor rgb="FF1F3864"/>
        <bgColor rgb="FF333333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F2F6FC"/>
      </patternFill>
    </fill>
    <fill>
      <patternFill patternType="solid">
        <fgColor rgb="FFFFFFFF"/>
        <bgColor rgb="FFF2F6FC"/>
      </patternFill>
    </fill>
    <fill>
      <patternFill patternType="solid">
        <fgColor rgb="FFFFF6D8"/>
        <bgColor rgb="FFF2F2F2"/>
      </patternFill>
    </fill>
    <fill>
      <patternFill patternType="solid">
        <fgColor rgb="FFF2F6FC"/>
        <bgColor rgb="FFF2F2F2"/>
      </patternFill>
    </fill>
    <fill>
      <patternFill patternType="solid">
        <fgColor rgb="FFE4F5E1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6" fillId="5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6" fillId="6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center" vertical="bottom"/>
    </xf>
    <xf numFmtId="0" fontId="9" fillId="4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general" vertical="top" wrapText="1"/>
    </xf>
    <xf numFmtId="0" fontId="15" fillId="7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center" vertical="top"/>
    </xf>
    <xf numFmtId="0" fontId="16" fillId="7" borderId="1" applyAlignment="1" pivotButton="0" quotePrefix="0" xfId="0">
      <alignment horizontal="general" vertical="top" wrapText="1"/>
    </xf>
    <xf numFmtId="0" fontId="17" fillId="7" borderId="1" applyAlignment="1" pivotButton="0" quotePrefix="0" xfId="0">
      <alignment horizontal="general" vertical="top" wrapText="1"/>
    </xf>
    <xf numFmtId="0" fontId="14" fillId="8" borderId="1" applyAlignment="1" pivotButton="0" quotePrefix="0" xfId="0">
      <alignment horizontal="center" vertical="top"/>
    </xf>
    <xf numFmtId="0" fontId="14" fillId="9" borderId="1" applyAlignment="1" pivotButton="0" quotePrefix="0" xfId="0">
      <alignment horizontal="general" vertical="top" wrapText="1"/>
    </xf>
    <xf numFmtId="0" fontId="15" fillId="9" borderId="1" applyAlignment="1" pivotButton="0" quotePrefix="0" xfId="0">
      <alignment horizontal="general" vertical="top" wrapText="1"/>
    </xf>
    <xf numFmtId="0" fontId="16" fillId="9" borderId="1" applyAlignment="1" pivotButton="0" quotePrefix="0" xfId="0">
      <alignment horizontal="general" vertical="top" wrapText="1"/>
    </xf>
    <xf numFmtId="0" fontId="14" fillId="10" borderId="1" applyAlignment="1" pivotButton="0" quotePrefix="0" xfId="0">
      <alignment horizontal="center" vertical="top"/>
    </xf>
    <xf numFmtId="0" fontId="17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center" vertical="bottom"/>
    </xf>
    <xf numFmtId="0" fontId="6" fillId="5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6" fillId="6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9" fillId="4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general" vertical="top" wrapText="1"/>
    </xf>
    <xf numFmtId="0" fontId="15" fillId="7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center" vertical="top"/>
    </xf>
    <xf numFmtId="0" fontId="16" fillId="7" borderId="1" applyAlignment="1" pivotButton="0" quotePrefix="0" xfId="0">
      <alignment horizontal="general" vertical="top" wrapText="1"/>
    </xf>
    <xf numFmtId="0" fontId="17" fillId="7" borderId="1" applyAlignment="1" pivotButton="0" quotePrefix="0" xfId="0">
      <alignment horizontal="general" vertical="top" wrapText="1"/>
    </xf>
    <xf numFmtId="0" fontId="14" fillId="8" borderId="1" applyAlignment="1" pivotButton="0" quotePrefix="0" xfId="0">
      <alignment horizontal="center" vertical="top"/>
    </xf>
    <xf numFmtId="0" fontId="14" fillId="9" borderId="1" applyAlignment="1" pivotButton="0" quotePrefix="0" xfId="0">
      <alignment horizontal="general" vertical="top" wrapText="1"/>
    </xf>
    <xf numFmtId="0" fontId="15" fillId="9" borderId="1" applyAlignment="1" pivotButton="0" quotePrefix="0" xfId="0">
      <alignment horizontal="general" vertical="top" wrapText="1"/>
    </xf>
    <xf numFmtId="0" fontId="16" fillId="9" borderId="1" applyAlignment="1" pivotButton="0" quotePrefix="0" xfId="0">
      <alignment horizontal="general" vertical="top" wrapText="1"/>
    </xf>
    <xf numFmtId="0" fontId="14" fillId="10" borderId="1" applyAlignment="1" pivotButton="0" quotePrefix="0" xfId="0">
      <alignment horizontal="center" vertical="top"/>
    </xf>
    <xf numFmtId="0" fontId="17" fillId="9" borderId="1" applyAlignment="1" pivotButton="0" quotePrefix="0" xfId="0">
      <alignment horizontal="general" vertical="top" wrapText="1"/>
    </xf>
    <xf numFmtId="0" fontId="14" fillId="7" borderId="1" applyAlignment="1" pivotButton="0" quotePrefix="0" xfId="0">
      <alignment horizontal="general" vertical="top" wrapText="1"/>
    </xf>
    <xf numFmtId="0" fontId="15" fillId="7" borderId="1" applyAlignment="1" pivotButton="0" quotePrefix="0" xfId="0">
      <alignment horizontal="general" vertical="top" wrapText="1"/>
    </xf>
    <xf numFmtId="0" fontId="14" fillId="8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B45F06"/>
          <bgColor rgb="FF000000"/>
        </patternFill>
      </fill>
    </dxf>
    <dxf>
      <fill>
        <patternFill patternType="solid">
          <fgColor rgb="FFE4F5E1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6D8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F0000"/>
      <rgbColor rgb="FF1E7B34"/>
      <rgbColor rgb="FF000080"/>
      <rgbColor rgb="FF808000"/>
      <rgbColor rgb="FF800080"/>
      <rgbColor rgb="FF008080"/>
      <rgbColor rgb="FFBFBFBF"/>
      <rgbColor rgb="FF4F81BD"/>
      <rgbColor rgb="FF9999FF"/>
      <rgbColor rgb="FF993366"/>
      <rgbColor rgb="FFFFF6D8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F2F6FC"/>
      <rgbColor rgb="FFE4F5E1"/>
      <rgbColor rgb="FFF2F2F2"/>
      <rgbColor rgb="FFFCE4E4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70AD47"/>
      <rgbColor rgb="FF003300"/>
      <rgbColor rgb="FF333300"/>
      <rgbColor rgb="FFB45F06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Resultados de Pruebas por Estado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Dashboard!C15</f>
              <strCache>
                <ptCount val="1"/>
                <pt idx="0">
                  <v>Cantidad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70ad47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 w="0">
                <a:noFill/>
                <a:prstDash val="solid"/>
              </a:ln>
            </spPr>
          </dPt>
          <dPt>
            <idx val="2"/>
            <spPr>
              <a:solidFill>
                <a:srgbClr val="7f0000"/>
              </a:solidFill>
              <a:ln w="0">
                <a:noFill/>
                <a:prstDash val="solid"/>
              </a:ln>
            </spPr>
          </dPt>
          <dPt>
            <idx val="3"/>
            <spPr>
              <a:solidFill>
                <a:srgbClr val="a6a6a6"/>
              </a:solidFill>
              <a:ln w="0">
                <a:noFill/>
                <a:prstDash val="solid"/>
              </a:ln>
            </spPr>
          </dPt>
          <dLbls>
            <dLbl>
              <idx val="0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Dashboard!$B$16:$B$19</f>
              <strCache>
                <ptCount val="4"/>
                <pt idx="0">
                  <v>Aprobado</v>
                </pt>
                <pt idx="1">
                  <v>Fallido</v>
                </pt>
                <pt idx="2">
                  <v>Bloqueado</v>
                </pt>
                <pt idx="3">
                  <v>Sin Ejecutar</v>
                </pt>
              </strCache>
            </strRef>
          </cat>
          <val>
            <numRef>
              <f>Dashboard!$C$16:$C$19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49</v>
                </pt>
              </numCache>
            </numRef>
          </val>
        </ser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Avance de Ejecucion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Dashboard!C21</f>
              <strCache>
                <ptCount val="1"/>
                <pt idx="0">
                  <v>Cantidad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2e75b6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d9d9d9"/>
              </a:solidFill>
              <a:ln w="0">
                <a:noFill/>
                <a:prstDash val="solid"/>
              </a:ln>
            </spPr>
          </dPt>
          <dLbls>
            <dLbl>
              <idx val="0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Dashboard!$B$22:$B$23</f>
              <strCache>
                <ptCount val="2"/>
                <pt idx="0">
                  <v>Ejecutado</v>
                </pt>
                <pt idx="1">
                  <v>Sin Ejecutar</v>
                </pt>
              </strCache>
            </strRef>
          </cat>
          <val>
            <numRef>
              <f>Dashboard!$C$22:$C$23</f>
              <numCache>
                <formatCode>General</formatCode>
                <ptCount val="2"/>
                <pt idx="0">
                  <v>0</v>
                </pt>
                <pt idx="1">
                  <v>49</v>
                </pt>
              </numCache>
            </numRef>
          </val>
        </ser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4</col>
      <colOff>0</colOff>
      <row>3</row>
      <rowOff>131040</rowOff>
    </from>
    <to>
      <col>11</col>
      <colOff>399240</colOff>
      <row>19</row>
      <rowOff>127800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4</col>
      <colOff>0</colOff>
      <row>21</row>
      <rowOff>116280</rowOff>
    </from>
    <to>
      <col>11</col>
      <colOff>399240</colOff>
      <row>37</row>
      <rowOff>127800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40" customWidth="1" style="31" min="2" max="2"/>
    <col width="62" customWidth="1" style="31" min="3" max="3"/>
  </cols>
  <sheetData>
    <row r="2" ht="24.45" customHeight="1" s="32">
      <c r="B2" s="33" t="inlineStr">
        <is>
          <t>Matriz de Pruebas - Boton de Pago</t>
        </is>
      </c>
    </row>
    <row r="3" ht="15" customHeight="1" s="32">
      <c r="B3" s="34" t="inlineStr">
        <is>
          <t>Gobierno de Puebla / Memphis Pay</t>
        </is>
      </c>
    </row>
    <row r="4" ht="15" customHeight="1" s="32">
      <c r="B4" s="34" t="inlineStr">
        <is>
          <t>Version simplificada para pruebas manuales de QA (sin detalles tecnicos de backend)</t>
        </is>
      </c>
    </row>
    <row r="6" ht="15" customHeight="1" s="32">
      <c r="B6" s="35" t="inlineStr">
        <is>
          <t>Proyecto:</t>
        </is>
      </c>
      <c r="C6" s="42" t="inlineStr">
        <is>
          <t>Boton de Pago - Gobierno de Puebla</t>
        </is>
      </c>
    </row>
    <row r="7" ht="15" customHeight="1" s="32">
      <c r="B7" s="35" t="inlineStr">
        <is>
          <t>Elaborado por:</t>
        </is>
      </c>
      <c r="C7" s="42" t="inlineStr">
        <is>
          <t>QA Architect - Memphis Pay</t>
        </is>
      </c>
    </row>
    <row r="8" ht="15" customHeight="1" s="32">
      <c r="B8" s="35" t="inlineStr">
        <is>
          <t>Tipo de matriz:</t>
        </is>
      </c>
      <c r="C8" s="42" t="inlineStr">
        <is>
          <t>Pruebas manuales / funcionales (nivel usuario)</t>
        </is>
      </c>
    </row>
    <row r="9" ht="15" customHeight="1" s="32">
      <c r="B9" s="35" t="inlineStr">
        <is>
          <t>Total de casos:</t>
        </is>
      </c>
      <c r="C9" s="42" t="n">
        <v>69</v>
      </c>
    </row>
    <row r="11" ht="16.15" customHeight="1" s="32">
      <c r="B11" s="37" t="inlineStr">
        <is>
          <t>Alcance de las Pruebas (QA)</t>
        </is>
      </c>
    </row>
    <row r="12" ht="48" customHeight="1" s="32">
      <c r="B12" s="38" t="inlineStr">
        <is>
          <t>Fase 1 - Gobierno de Puebla</t>
        </is>
      </c>
      <c r="C12" s="39" t="inlineStr">
        <is>
          <t>Genera y envia el enlace de pago al contribuyente. FUERA del alcance de esta matriz.</t>
        </is>
      </c>
    </row>
    <row r="13" ht="48" customHeight="1" s="32">
      <c r="B13" s="40" t="inlineStr">
        <is>
          <t>Fase 2 - Memphis Pay (nuestro desarrollo)</t>
        </is>
      </c>
      <c r="C13" s="39" t="inlineStr">
        <is>
          <t>Desde que se abre el enlace de pago (validacion) hasta el resultado final (aprobado/rechazado). ES el alcance de esta matriz, lo que se prueba aqui.</t>
        </is>
      </c>
    </row>
    <row r="14" ht="48" customHeight="1" s="32">
      <c r="B14" s="38" t="inlineStr">
        <is>
          <t>Fase 3 - Redireccion de vuelta al Gobierno de Puebla</t>
        </is>
      </c>
      <c r="C14" s="39" t="inlineStr">
        <is>
          <t>Al terminar el pago, el sistema redirige automaticamente al sitio del Gobierno. Solo se valida que la redireccion ocurra; el contenido de esa pagina destino esta FUERA del alcance.</t>
        </is>
      </c>
    </row>
    <row r="16" ht="16.15" customHeight="1" s="32">
      <c r="B16" s="37" t="inlineStr">
        <is>
          <t>Resumen por Modulo</t>
        </is>
      </c>
    </row>
    <row r="17" ht="15" customHeight="1" s="32">
      <c r="B17" s="41" t="inlineStr">
        <is>
          <t>Modulo</t>
        </is>
      </c>
      <c r="C17" s="41" t="inlineStr">
        <is>
          <t>No. de Casos</t>
        </is>
      </c>
    </row>
    <row r="18" ht="15" customHeight="1" s="32">
      <c r="B18" s="42" t="inlineStr">
        <is>
          <t>00. Happy Path - Flujo completo de pago</t>
        </is>
      </c>
      <c r="C18" s="52" t="n">
        <v>1</v>
      </c>
    </row>
    <row r="19" ht="15" customHeight="1" s="32">
      <c r="B19" s="42" t="inlineStr">
        <is>
          <t>01. Acceso al Enlace de Pago (inicio del alcance QA - pagina Memphis)</t>
        </is>
      </c>
      <c r="C19" s="52" t="n">
        <v>6</v>
      </c>
    </row>
    <row r="20" ht="15" customHeight="1" s="32">
      <c r="B20" s="42" t="inlineStr">
        <is>
          <t>02. Paso 1 - Datos de Contacto</t>
        </is>
      </c>
      <c r="C20" s="52" t="n">
        <v>10</v>
      </c>
    </row>
    <row r="21" ht="15" customHeight="1" s="32">
      <c r="B21" s="42" t="inlineStr">
        <is>
          <t>03. Paso 2 - Direccion</t>
        </is>
      </c>
      <c r="C21" s="52" t="n">
        <v>8</v>
      </c>
    </row>
    <row r="22" ht="15" customHeight="1" s="32">
      <c r="B22" s="42" t="inlineStr">
        <is>
          <t>04. Paso 3 - Datos de Tarjeta</t>
        </is>
      </c>
      <c r="C22" s="52" t="n">
        <v>13</v>
      </c>
    </row>
    <row r="23" ht="15" customHeight="1" s="32">
      <c r="B23" s="42" t="inlineStr">
        <is>
          <t>05. Procesamiento del Pago y Autenticacion del Banco (3D Secure)</t>
        </is>
      </c>
      <c r="C23" s="52" t="n">
        <v>4</v>
      </c>
    </row>
    <row r="24" ht="15" customHeight="1" s="32">
      <c r="B24" s="42" t="inlineStr">
        <is>
          <t>06. Resultado Exitoso (fin del alcance QA - redireccion al Gobierno)</t>
        </is>
      </c>
      <c r="C24" s="52" t="n">
        <v>3</v>
      </c>
    </row>
    <row r="25" ht="15" customHeight="1" s="32">
      <c r="B25" s="42" t="inlineStr">
        <is>
          <t>07. Resultado Fallido y Reintento</t>
        </is>
      </c>
      <c r="C25" s="52" t="n">
        <v>7</v>
      </c>
    </row>
    <row r="26" ht="15" customHeight="1" s="32">
      <c r="B26" s="42" t="inlineStr">
        <is>
          <t>08. Casos Especiales de Navegacion (usuario con poco conocimiento tecnico)</t>
        </is>
      </c>
      <c r="C26" s="52" t="n">
        <v>11</v>
      </c>
    </row>
    <row r="27" ht="15" customHeight="1" s="32">
      <c r="B27" s="42" t="inlineStr">
        <is>
          <t>09. Compatibilidad y Accesibilidad</t>
        </is>
      </c>
      <c r="C27" s="52" t="n">
        <v>3</v>
      </c>
    </row>
    <row r="28">
      <c r="B28" s="42" t="inlineStr">
        <is>
          <t>10. Paso 4 - Confirmacion antes de pagar</t>
        </is>
      </c>
      <c r="C28" s="52" t="n">
        <v>3</v>
      </c>
    </row>
    <row r="29">
      <c r="B29" s="52" t="inlineStr">
        <is>
          <t>TOTAL</t>
        </is>
      </c>
      <c r="C29" s="52">
        <f>SUM(C18:C28)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32" customWidth="1" style="31" min="2" max="2"/>
    <col width="16" customWidth="1" style="31" min="3" max="3"/>
  </cols>
  <sheetData>
    <row r="2" ht="19.7" customHeight="1" s="32">
      <c r="B2" s="44" t="inlineStr">
        <is>
          <t>Dashboard de Metricas - Matriz de Pruebas Boton de Pago</t>
        </is>
      </c>
    </row>
    <row r="3" ht="15" customHeight="1" s="32">
      <c r="B3" s="45" t="inlineStr">
        <is>
          <t>Se actualiza solo al llenar la columna 'Estado' en la hoja Matriz de Pruebas</t>
        </is>
      </c>
    </row>
    <row r="5" ht="16.15" customHeight="1" s="32">
      <c r="B5" s="37" t="inlineStr">
        <is>
          <t>Resumen General</t>
        </is>
      </c>
    </row>
    <row r="6" ht="15" customHeight="1" s="32">
      <c r="B6" s="35" t="inlineStr">
        <is>
          <t>Total de Casos</t>
        </is>
      </c>
      <c r="C6" s="46">
        <f>COUNTA('Matriz de Pruebas'!A2:A500)</f>
        <v/>
      </c>
    </row>
    <row r="7" ht="15" customHeight="1" s="32">
      <c r="B7" s="35" t="inlineStr">
        <is>
          <t>Casos Aprobados</t>
        </is>
      </c>
      <c r="C7" s="47">
        <f>COUNTIF('Matriz de Pruebas'!L2:L500,"Aprobado")</f>
        <v/>
      </c>
    </row>
    <row r="8" ht="15" customHeight="1" s="32">
      <c r="B8" s="35" t="inlineStr">
        <is>
          <t>Casos Fallidos</t>
        </is>
      </c>
      <c r="C8" s="48">
        <f>COUNTIF('Matriz de Pruebas'!L2:L500,"Fallido")</f>
        <v/>
      </c>
    </row>
    <row r="9" ht="15" customHeight="1" s="32">
      <c r="B9" s="35" t="inlineStr">
        <is>
          <t>Casos Bloqueados</t>
        </is>
      </c>
      <c r="C9" s="49">
        <f>COUNTIF('Matriz de Pruebas'!L2:L500,"Bloqueado")</f>
        <v/>
      </c>
    </row>
    <row r="10" ht="15" customHeight="1" s="32">
      <c r="B10" s="35" t="inlineStr">
        <is>
          <t>Casos Sin Ejecutar</t>
        </is>
      </c>
      <c r="C10" s="50">
        <f>COUNTIF('Matriz de Pruebas'!L2:L500,"Pendiente")+COUNTIF('Matriz de Pruebas'!L2:L500,"En Ejecucion")+COUNTIF('Matriz de Pruebas'!L2:L500,"No Aplica")</f>
        <v/>
      </c>
    </row>
    <row r="12" ht="15" customHeight="1" s="32">
      <c r="B12" s="35" t="inlineStr">
        <is>
          <t>% Ejecutado</t>
        </is>
      </c>
      <c r="C12" s="51">
        <f>IF($C$6=0,0,($C$7+$C$8+$C$9)/$C$6)</f>
        <v/>
      </c>
    </row>
    <row r="13" ht="15" customHeight="1" s="32">
      <c r="B13" s="35" t="inlineStr">
        <is>
          <t>% Aprobacion (de ejecutados)</t>
        </is>
      </c>
      <c r="C13" s="51">
        <f>IF(($C$7+$C$8+$C$9)=0,0,$C$7/($C$7+$C$8+$C$9))</f>
        <v/>
      </c>
    </row>
    <row r="15" ht="15" customHeight="1" s="32">
      <c r="B15" s="41" t="inlineStr">
        <is>
          <t>Estado</t>
        </is>
      </c>
      <c r="C15" s="41" t="inlineStr">
        <is>
          <t>Cantidad</t>
        </is>
      </c>
    </row>
    <row r="16" ht="15" customHeight="1" s="32">
      <c r="B16" s="42" t="inlineStr">
        <is>
          <t>Aprobado</t>
        </is>
      </c>
      <c r="C16" s="52">
        <f>$C$7</f>
        <v/>
      </c>
    </row>
    <row r="17" ht="15" customHeight="1" s="32">
      <c r="B17" s="42" t="inlineStr">
        <is>
          <t>Fallido</t>
        </is>
      </c>
      <c r="C17" s="52">
        <f>$C$8</f>
        <v/>
      </c>
    </row>
    <row r="18" ht="15" customHeight="1" s="32">
      <c r="B18" s="42" t="inlineStr">
        <is>
          <t>Bloqueado</t>
        </is>
      </c>
      <c r="C18" s="52">
        <f>$C$9</f>
        <v/>
      </c>
    </row>
    <row r="19" ht="15" customHeight="1" s="32">
      <c r="B19" s="42" t="inlineStr">
        <is>
          <t>Sin Ejecutar</t>
        </is>
      </c>
      <c r="C19" s="52">
        <f>$C$10</f>
        <v/>
      </c>
    </row>
    <row r="21" ht="15" customHeight="1" s="32">
      <c r="B21" s="41" t="inlineStr">
        <is>
          <t>Avance</t>
        </is>
      </c>
      <c r="C21" s="41" t="inlineStr">
        <is>
          <t>Cantidad</t>
        </is>
      </c>
    </row>
    <row r="22" ht="15" customHeight="1" s="32">
      <c r="B22" s="42" t="inlineStr">
        <is>
          <t>Ejecutado</t>
        </is>
      </c>
      <c r="C22" s="52">
        <f>$C$7+$C$8+$C$9</f>
        <v/>
      </c>
    </row>
    <row r="23" ht="15" customHeight="1" s="32">
      <c r="B23" s="42" t="inlineStr">
        <is>
          <t>Sin Ejecutar</t>
        </is>
      </c>
      <c r="C23" s="52">
        <f>$C$10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34" customWidth="1" style="31" min="2" max="2"/>
    <col width="40" customWidth="1" style="31" min="3" max="3"/>
    <col width="12" customWidth="1" style="31" min="4" max="4"/>
    <col width="10" customWidth="1" style="31" min="5" max="5"/>
    <col width="34" customWidth="1" style="31" min="6" max="6"/>
    <col width="22" customWidth="1" style="31" min="7" max="7"/>
    <col width="36" customWidth="1" style="31" min="8" max="8"/>
    <col width="24" customWidth="1" style="31" min="9" max="9"/>
    <col width="40" customWidth="1" style="31" min="10" max="10"/>
    <col width="20" customWidth="1" style="31" min="11" max="11"/>
    <col width="16" customWidth="1" style="31" min="12" max="12"/>
    <col width="30" customWidth="1" style="31" min="13" max="13"/>
  </cols>
  <sheetData>
    <row r="1" ht="26.85" customHeight="1" s="32">
      <c r="A1" s="53" t="inlineStr">
        <is>
          <t>ID</t>
        </is>
      </c>
      <c r="B1" s="53" t="inlineStr">
        <is>
          <t>Modulo</t>
        </is>
      </c>
      <c r="C1" s="53" t="inlineStr">
        <is>
          <t>Caso de Prueba</t>
        </is>
      </c>
      <c r="D1" s="53" t="inlineStr">
        <is>
          <t>Tipo</t>
        </is>
      </c>
      <c r="E1" s="53" t="inlineStr">
        <is>
          <t>Prioridad</t>
        </is>
      </c>
      <c r="F1" s="53" t="inlineStr">
        <is>
          <t>Precondiciones</t>
        </is>
      </c>
      <c r="G1" s="53" t="inlineStr">
        <is>
          <t>Requiere 3DS</t>
        </is>
      </c>
      <c r="H1" s="53" t="inlineStr">
        <is>
          <t>Pasos a Seguir</t>
        </is>
      </c>
      <c r="I1" s="53" t="inlineStr">
        <is>
          <t>Datos de Prueba</t>
        </is>
      </c>
      <c r="J1" s="53" t="inlineStr">
        <is>
          <t>Resultado Esperado</t>
        </is>
      </c>
      <c r="K1" s="53" t="inlineStr">
        <is>
          <t>Resultado Obtenido</t>
        </is>
      </c>
      <c r="L1" s="53" t="inlineStr">
        <is>
          <t>Estado</t>
        </is>
      </c>
      <c r="M1" s="53" t="inlineStr">
        <is>
          <t>Observaciones</t>
        </is>
      </c>
    </row>
    <row r="2" ht="75" customHeight="1" s="32">
      <c r="A2" s="65" t="inlineStr">
        <is>
          <t>TC-BP-001</t>
        </is>
      </c>
      <c r="B2" s="65" t="inlineStr">
        <is>
          <t>01. Acceso al Enlace de Pago (inicio del alcance QA - pagina Memphis)</t>
        </is>
      </c>
      <c r="C2" s="65" t="inlineStr">
        <is>
          <t>Flujo completo: abrir el enlace de pago con datos correctos</t>
        </is>
      </c>
      <c r="D2" s="66" t="inlineStr">
        <is>
          <t>EXITO</t>
        </is>
      </c>
      <c r="E2" s="56" t="inlineStr">
        <is>
          <t>Alta</t>
        </is>
      </c>
      <c r="F2" s="65" t="inlineStr">
        <is>
          <t>El Gobierno de Puebla genero y envio el enlace de pago al contribuyente (correo/SMS); el enlace aun no ha sido usado</t>
        </is>
      </c>
      <c r="G2" s="65" t="inlineStr">
        <is>
          <t>N/A</t>
        </is>
      </c>
      <c r="H2" s="65" t="inlineStr">
        <is>
          <t>1. Abrir el enlace de pago recibido (proveniente del sitio del Gobierno de Puebla)
2. Verificar la pantalla de validacion</t>
        </is>
      </c>
      <c r="I2" s="65" t="inlineStr">
        <is>
          <t>Enlace de pago valido</t>
        </is>
      </c>
      <c r="J2" s="65" t="inlineStr">
        <is>
          <t>Se muestra la pantalla de validacion y despues el formulario, con el importe, concepto y referencia correctos</t>
        </is>
      </c>
      <c r="K2" s="65" t="n"/>
      <c r="L2" s="65" t="inlineStr">
        <is>
          <t>Pendiente</t>
        </is>
      </c>
      <c r="M2" s="65" t="inlineStr">
        <is>
          <t>Este es el punto de entrada al alcance de QA de Memphis; el sitio del Gobierno de Puebla que genera el enlace no forma parte de esta matriz</t>
        </is>
      </c>
    </row>
    <row r="3" ht="75" customHeight="1" s="32">
      <c r="A3" s="65" t="inlineStr">
        <is>
          <t>TC-BP-002</t>
        </is>
      </c>
      <c r="B3" s="65" t="inlineStr">
        <is>
          <t>01. Acceso al Enlace de Pago (inicio del alcance QA - pagina Memphis)</t>
        </is>
      </c>
      <c r="C3" s="65" t="inlineStr">
        <is>
          <t>Abrir un enlace de pago vencido o invalido</t>
        </is>
      </c>
      <c r="D3" s="57" t="inlineStr">
        <is>
          <t>ERROR</t>
        </is>
      </c>
      <c r="E3" s="56" t="inlineStr">
        <is>
          <t>Alta</t>
        </is>
      </c>
      <c r="F3" s="65" t="inlineStr">
        <is>
          <t>Se cuenta con un enlace de prueba vencido o mal formado</t>
        </is>
      </c>
      <c r="G3" s="65" t="inlineStr">
        <is>
          <t>N/A</t>
        </is>
      </c>
      <c r="H3" s="65" t="inlineStr">
        <is>
          <t>1. Abrir un enlace de pago que ya no es valido o esta mal escrito</t>
        </is>
      </c>
      <c r="I3" s="65" t="inlineStr">
        <is>
          <t>Enlace invalido/vencido</t>
        </is>
      </c>
      <c r="J3" s="65" t="inlineStr">
        <is>
          <t>Se muestra 'Link de pago no valido - Solicita uno nuevo para continuar la transaccion.' y no se permite continuar</t>
        </is>
      </c>
      <c r="K3" s="65" t="n"/>
      <c r="L3" s="65" t="inlineStr">
        <is>
          <t>Pendiente</t>
        </is>
      </c>
      <c r="M3" s="65" t="inlineStr">
        <is>
          <t>[Act. 29/09/2026] Actualizado con las pantallas reales</t>
        </is>
      </c>
    </row>
    <row r="4" ht="75" customHeight="1" s="32">
      <c r="A4" s="65" t="inlineStr">
        <is>
          <t>TC-BP-003</t>
        </is>
      </c>
      <c r="B4" s="65" t="inlineStr">
        <is>
          <t>01. Acceso al Enlace de Pago (inicio del alcance QA - pagina Memphis)</t>
        </is>
      </c>
      <c r="C4" s="65" t="inlineStr">
        <is>
          <t>Volver a abrir el mismo enlace despues de haber pagado con exito</t>
        </is>
      </c>
      <c r="D4" s="58" t="inlineStr">
        <is>
          <t>ESPECIAL</t>
        </is>
      </c>
      <c r="E4" s="56" t="inlineStr">
        <is>
          <t>Alta</t>
        </is>
      </c>
      <c r="F4" s="65" t="inlineStr">
        <is>
          <t>Existe una transaccion ya pagada con exito usando este mismo enlace</t>
        </is>
      </c>
      <c r="G4" s="65" t="inlineStr">
        <is>
          <t>N/A</t>
        </is>
      </c>
      <c r="H4" s="65" t="inlineStr">
        <is>
          <t>1. Completar un pago exitoso
2. Volver a abrir el mismo enlace (ej. desde el correo o SMS original)</t>
        </is>
      </c>
      <c r="I4" s="65" t="inlineStr">
        <is>
          <t>Enlace de una transaccion ya pagada</t>
        </is>
      </c>
      <c r="J4" s="65" t="inlineStr">
        <is>
          <t>El sistema indica que el pago ya fue realizado y no permite cobrar de nuevo</t>
        </is>
      </c>
      <c r="K4" s="65" t="n"/>
      <c r="L4" s="65" t="inlineStr">
        <is>
          <t>Pendiente</t>
        </is>
      </c>
      <c r="M4" s="65" t="inlineStr">
        <is>
          <t>Muy comun: el contribuyente busca el link de nuevo para 'checar' que si pago</t>
        </is>
      </c>
    </row>
    <row r="5" ht="75" customHeight="1" s="32">
      <c r="A5" s="65" t="inlineStr">
        <is>
          <t>TC-BP-004</t>
        </is>
      </c>
      <c r="B5" s="65" t="inlineStr">
        <is>
          <t>01. Acceso al Enlace de Pago (inicio del alcance QA - pagina Memphis)</t>
        </is>
      </c>
      <c r="C5" s="65" t="inlineStr">
        <is>
          <t>Abrir el mismo enlace en dos pestanas y pagar en una de ellas</t>
        </is>
      </c>
      <c r="D5" s="58" t="inlineStr">
        <is>
          <t>ESPECIAL</t>
        </is>
      </c>
      <c r="E5" s="67" t="inlineStr">
        <is>
          <t>Media</t>
        </is>
      </c>
      <c r="F5" s="65" t="inlineStr">
        <is>
          <t>El enlace de pago es valido y no ha sido usado</t>
        </is>
      </c>
      <c r="G5" s="65" t="inlineStr">
        <is>
          <t>N/A</t>
        </is>
      </c>
      <c r="H5" s="65" t="inlineStr">
        <is>
          <t>1. Abrir el enlace de pago en la Pestana A
2. Abrir el mismo enlace en la Pestana B
3. Completar el pago en la Pestana A
4. Intentar pagar en la Pestana B</t>
        </is>
      </c>
      <c r="I5" s="65" t="inlineStr">
        <is>
          <t>Mismo enlace abierto en 2 pestanas</t>
        </is>
      </c>
      <c r="J5" s="65" t="inlineStr">
        <is>
          <t>Solo se cobra una vez; la Pestana B muestra que la transaccion ya fue procesada</t>
        </is>
      </c>
      <c r="K5" s="65" t="n"/>
      <c r="L5" s="65" t="inlineStr">
        <is>
          <t>Pendiente</t>
        </is>
      </c>
      <c r="M5" s="65" t="n"/>
    </row>
    <row r="6" ht="75" customHeight="1" s="32">
      <c r="A6" s="65" t="inlineStr">
        <is>
          <t>TC-BP-005</t>
        </is>
      </c>
      <c r="B6" s="65" t="inlineStr">
        <is>
          <t>01. Acceso al Enlace de Pago (inicio del alcance QA - pagina Memphis)</t>
        </is>
      </c>
      <c r="C6" s="65" t="inlineStr">
        <is>
          <t>Abrir el enlace de pago y no hacer nada hasta que el token expire, sin llenar ningun dato</t>
        </is>
      </c>
      <c r="D6" s="58" t="inlineStr">
        <is>
          <t>ESPECIAL</t>
        </is>
      </c>
      <c r="E6" s="56" t="inlineStr">
        <is>
          <t>Alta</t>
        </is>
      </c>
      <c r="F6" s="65" t="inlineStr">
        <is>
          <t>Enlace de pago valido recien abierto, formulario de Contacto aun sin llenar</t>
        </is>
      </c>
      <c r="G6" s="65" t="inlineStr">
        <is>
          <t>N/A</t>
        </is>
      </c>
      <c r="H6" s="65" t="inlineStr">
        <is>
          <t>1. Abrir el enlace de pago
2. No realizar ninguna accion y dejar pasar el tiempo de vida del token (segun lo defina desarrollo)
3. Intentar continuar despues de ese tiempo</t>
        </is>
      </c>
      <c r="I6" s="65" t="inlineStr">
        <is>
          <t>N/A - solo esperar sin interactuar</t>
        </is>
      </c>
      <c r="J6" s="65" t="inlineStr">
        <is>
          <t>El token del enlace se agota por inactividad; el sistema genera un nuevo token automaticamente y reinicia el proceso de validacion del enlace; no se registra ningun cobro</t>
        </is>
      </c>
      <c r="K6" s="65" t="n"/>
      <c r="L6" s="65" t="inlineStr">
        <is>
          <t>Pendiente</t>
        </is>
      </c>
      <c r="M6" s="65" t="inlineStr">
        <is>
          <t>Confirmado con desarrollo: al agotarse el token se genera uno nuevo y se reinicia el flujo, no se debe quedar en un error sin salida
[Act. 29/09/2026] Automatizacion: se espera maximo 120 s; si el token no expira ni se reinicia el flujo en ese tiempo, se marca como 'Tiempo de espera excedido'</t>
        </is>
      </c>
    </row>
    <row r="7" ht="75" customHeight="1" s="32">
      <c r="A7" s="60" t="inlineStr">
        <is>
          <t>TC-BP-006</t>
        </is>
      </c>
      <c r="B7" s="60" t="inlineStr">
        <is>
          <t>02. Paso 1 - Datos de Contacto</t>
        </is>
      </c>
      <c r="C7" s="60" t="inlineStr">
        <is>
          <t>Flujo completo: llenar telefono y correo validos y continuar</t>
        </is>
      </c>
      <c r="D7" s="61" t="inlineStr">
        <is>
          <t>EXITO</t>
        </is>
      </c>
      <c r="E7" s="56" t="inlineStr">
        <is>
          <t>Alta</t>
        </is>
      </c>
      <c r="F7" s="60" t="inlineStr">
        <is>
          <t>El enlace de pago fue validado correctamente por el sistema Memphis y se muestra el Paso 1 - Contacto</t>
        </is>
      </c>
      <c r="G7" s="60" t="inlineStr">
        <is>
          <t>N/A</t>
        </is>
      </c>
      <c r="H7" s="60" t="inlineStr">
        <is>
          <t>1. Ingresar un numero de telefono valido
2. Ingresar un correo valido
3. Dar clic en 'Continuar'</t>
        </is>
      </c>
      <c r="I7" s="60" t="inlineStr">
        <is>
          <t>Telefono: 5540076333 / Correo: santiago.tapia@memphis.mx</t>
        </is>
      </c>
      <c r="J7" s="60" t="inlineStr">
        <is>
          <t>El sistema avanza correctamente al Paso 2 - Direccion</t>
        </is>
      </c>
      <c r="K7" s="60" t="n"/>
      <c r="L7" s="60" t="inlineStr">
        <is>
          <t>Pendiente</t>
        </is>
      </c>
      <c r="M7" s="60" t="inlineStr">
        <is>
          <t>[Act. 29/09/2026] Actualizado con las pantallas reales</t>
        </is>
      </c>
    </row>
    <row r="8" ht="75" customHeight="1" s="32">
      <c r="A8" s="60" t="inlineStr">
        <is>
          <t>TC-BP-007</t>
        </is>
      </c>
      <c r="B8" s="60" t="inlineStr">
        <is>
          <t>02. Paso 1 - Datos de Contacto</t>
        </is>
      </c>
      <c r="C8" s="60" t="inlineStr">
        <is>
          <t>No ingresar ningun dato y dar clic en 'Continuar'</t>
        </is>
      </c>
      <c r="D8" s="62" t="inlineStr">
        <is>
          <t>ERROR</t>
        </is>
      </c>
      <c r="E8" s="56" t="inlineStr">
        <is>
          <t>Alta</t>
        </is>
      </c>
      <c r="F8" s="60" t="inlineStr">
        <is>
          <t>El enlace de pago fue validado correctamente por el sistema Memphis y se muestra el Paso 1 - Contacto</t>
        </is>
      </c>
      <c r="G8" s="60" t="inlineStr">
        <is>
          <t>N/A</t>
        </is>
      </c>
      <c r="H8" s="60" t="inlineStr">
        <is>
          <t>1. Dejar todos los campos vacios
2. Dar clic en 'Continuar'</t>
        </is>
      </c>
      <c r="I8" s="60" t="inlineStr">
        <is>
          <t>Formulario vacio</t>
        </is>
      </c>
      <c r="J8" s="60" t="inlineStr">
        <is>
          <t>El sistema no avanza; muestra 'Este campo es requerido' en el correo</t>
        </is>
      </c>
      <c r="K8" s="60" t="n"/>
      <c r="L8" s="60" t="inlineStr">
        <is>
          <t>Pendiente</t>
        </is>
      </c>
      <c r="M8" s="60" t="inlineStr">
        <is>
          <t>[Act. 29/09/2026] Actualizado con las pantallas reales
[Act. 29/09/2026] El telefono es opcional en la pantalla (ver TC-BP-052)</t>
        </is>
      </c>
    </row>
    <row r="9" ht="75" customHeight="1" s="32">
      <c r="A9" s="60" t="inlineStr">
        <is>
          <t>TC-BP-008</t>
        </is>
      </c>
      <c r="B9" s="60" t="inlineStr">
        <is>
          <t>02. Paso 1 - Datos de Contacto</t>
        </is>
      </c>
      <c r="C9" s="60" t="inlineStr">
        <is>
          <t>Ingresar solo el telefono y dejar el correo vacio</t>
        </is>
      </c>
      <c r="D9" s="62" t="inlineStr">
        <is>
          <t>ERROR</t>
        </is>
      </c>
      <c r="E9" s="67" t="inlineStr">
        <is>
          <t>Media</t>
        </is>
      </c>
      <c r="F9" s="60" t="inlineStr">
        <is>
          <t>El enlace de pago fue validado correctamente por el sistema Memphis y se muestra el Paso 1 - Contacto</t>
        </is>
      </c>
      <c r="G9" s="60" t="inlineStr">
        <is>
          <t>N/A</t>
        </is>
      </c>
      <c r="H9" s="60" t="inlineStr">
        <is>
          <t>1. Ingresar solo el telefono
2. Dejar el correo vacio
3. Dar clic en 'Continuar'</t>
        </is>
      </c>
      <c r="I9" s="60" t="inlineStr">
        <is>
          <t>Telefono valido, correo vacio</t>
        </is>
      </c>
      <c r="J9" s="60" t="inlineStr">
        <is>
          <t>El sistema no avanza; muestra mensaje de correo obligatorio</t>
        </is>
      </c>
      <c r="K9" s="60" t="n"/>
      <c r="L9" s="60" t="inlineStr">
        <is>
          <t>Pendiente</t>
        </is>
      </c>
      <c r="M9" s="60" t="n"/>
    </row>
    <row r="10" ht="75" customHeight="1" s="32">
      <c r="A10" s="60" t="inlineStr">
        <is>
          <t>TC-BP-009</t>
        </is>
      </c>
      <c r="B10" s="60" t="inlineStr">
        <is>
          <t>02. Paso 1 - Datos de Contacto</t>
        </is>
      </c>
      <c r="C10" s="60" t="inlineStr">
        <is>
          <t>Ingresar un correo con formato incorrecto (sin arroba o sin dominio)</t>
        </is>
      </c>
      <c r="D10" s="62" t="inlineStr">
        <is>
          <t>ERROR</t>
        </is>
      </c>
      <c r="E10" s="67" t="inlineStr">
        <is>
          <t>Media</t>
        </is>
      </c>
      <c r="F10" s="60" t="inlineStr">
        <is>
          <t>El enlace de pago fue validado correctamente por el sistema Memphis y se muestra el Paso 1 - Contacto</t>
        </is>
      </c>
      <c r="G10" s="60" t="inlineStr">
        <is>
          <t>N/A</t>
        </is>
      </c>
      <c r="H10" s="60" t="inlineStr">
        <is>
          <t>1. Escribir 'contribuyentecorreo.com' en el campo de correo
2. Dar clic en 'Continuar'</t>
        </is>
      </c>
      <c r="I10" s="60" t="inlineStr">
        <is>
          <t>Correo: contribuyentecorreo.com</t>
        </is>
      </c>
      <c r="J10" s="60" t="inlineStr">
        <is>
          <t>El sistema muestra 'El campo email debe tener un formato de correo.' y no permite avanzar</t>
        </is>
      </c>
      <c r="K10" s="60" t="n"/>
      <c r="L10" s="60" t="inlineStr">
        <is>
          <t>Pendiente</t>
        </is>
      </c>
      <c r="M10" s="60" t="inlineStr">
        <is>
          <t>[Act. 29/09/2026] Actualizado con las pantallas reales
[Act. 29/09/2026] Ver TC-BP-053 para mas formatos invalidos</t>
        </is>
      </c>
    </row>
    <row r="11" ht="75" customHeight="1" s="32">
      <c r="A11" s="60" t="inlineStr">
        <is>
          <t>TC-BP-010</t>
        </is>
      </c>
      <c r="B11" s="60" t="inlineStr">
        <is>
          <t>02. Paso 1 - Datos de Contacto</t>
        </is>
      </c>
      <c r="C11" s="60" t="inlineStr">
        <is>
          <t>Ingresar un telefono incompleto (menos de 10 digitos)</t>
        </is>
      </c>
      <c r="D11" s="62" t="inlineStr">
        <is>
          <t>ERROR</t>
        </is>
      </c>
      <c r="E11" s="67" t="inlineStr">
        <is>
          <t>Media</t>
        </is>
      </c>
      <c r="F11" s="60" t="inlineStr">
        <is>
          <t>El enlace de pago fue validado correctamente por el sistema Memphis y se muestra el Paso 1 - Contacto</t>
        </is>
      </c>
      <c r="G11" s="60" t="inlineStr">
        <is>
          <t>N/A</t>
        </is>
      </c>
      <c r="H11" s="60" t="inlineStr">
        <is>
          <t>1. Escribir '12345' en el campo de telefono
2. Dar clic en 'Continuar'</t>
        </is>
      </c>
      <c r="I11" s="60" t="inlineStr">
        <is>
          <t>Telefono: 12345</t>
        </is>
      </c>
      <c r="J11" s="60" t="inlineStr">
        <is>
          <t>El sistema muestra 'El numero de telefono debe tener minimo 10 digitos' y no permite avanzar</t>
        </is>
      </c>
      <c r="K11" s="60" t="n"/>
      <c r="L11" s="60" t="inlineStr">
        <is>
          <t>Pendiente</t>
        </is>
      </c>
      <c r="M11" s="60" t="inlineStr">
        <is>
          <t>[Act. 29/09/2026] Actualizado con las pantallas reales</t>
        </is>
      </c>
    </row>
    <row r="12" ht="75" customHeight="1" s="32">
      <c r="A12" s="60" t="inlineStr">
        <is>
          <t>TC-BP-011</t>
        </is>
      </c>
      <c r="B12" s="60" t="inlineStr">
        <is>
          <t>02. Paso 1 - Datos de Contacto</t>
        </is>
      </c>
      <c r="C12" s="60" t="inlineStr">
        <is>
          <t>Ingresar letras en el campo de telefono</t>
        </is>
      </c>
      <c r="D12" s="62" t="inlineStr">
        <is>
          <t>ERROR</t>
        </is>
      </c>
      <c r="E12" s="63" t="inlineStr">
        <is>
          <t>Baja</t>
        </is>
      </c>
      <c r="F12" s="60" t="inlineStr">
        <is>
          <t>El enlace de pago fue validado correctamente por el sistema Memphis y se muestra el Paso 1 - Contacto</t>
        </is>
      </c>
      <c r="G12" s="60" t="inlineStr">
        <is>
          <t>N/A</t>
        </is>
      </c>
      <c r="H12" s="60" t="inlineStr">
        <is>
          <t>1. Escribir 'abc123' en el campo de telefono
2. Dar clic en 'Continuar'</t>
        </is>
      </c>
      <c r="I12" s="60" t="inlineStr">
        <is>
          <t>Telefono: abc123</t>
        </is>
      </c>
      <c r="J12" s="60" t="inlineStr">
        <is>
          <t>El campo rechaza las letras o muestra un mensaje de error claro</t>
        </is>
      </c>
      <c r="K12" s="60" t="n"/>
      <c r="L12" s="60" t="inlineStr">
        <is>
          <t>Pendiente</t>
        </is>
      </c>
      <c r="M12" s="60" t="n"/>
    </row>
    <row r="13" ht="75" customHeight="1" s="32">
      <c r="A13" s="65" t="inlineStr">
        <is>
          <t>TC-BP-012</t>
        </is>
      </c>
      <c r="B13" s="65" t="inlineStr">
        <is>
          <t>03. Paso 2 - Direccion</t>
        </is>
      </c>
      <c r="C13" s="65" t="inlineStr">
        <is>
          <t>Flujo completo: llenar la direccion completa y continuar</t>
        </is>
      </c>
      <c r="D13" s="66" t="inlineStr">
        <is>
          <t>EXITO</t>
        </is>
      </c>
      <c r="E13" s="56" t="inlineStr">
        <is>
          <t>Alta</t>
        </is>
      </c>
      <c r="F13" s="65" t="inlineStr">
        <is>
          <t>El Paso 1 - Contacto fue completado y confirmado correctamente</t>
        </is>
      </c>
      <c r="G13" s="65" t="inlineStr">
        <is>
          <t>N/A</t>
        </is>
      </c>
      <c r="H13" s="65" t="inlineStr">
        <is>
          <t>1. Ingresar calle, codigo postal y ciudad validos
2. Seleccionar pais y estado
3. Dar clic en 'Continuar'</t>
        </is>
      </c>
      <c r="I13" s="65" t="inlineStr">
        <is>
          <t>Calle: Reforma 245 / CP: 16200 / Ciudad: Cholula / Pais: Mexico / Estado: Puebla</t>
        </is>
      </c>
      <c r="J13" s="65" t="inlineStr">
        <is>
          <t>El sistema avanza correctamente al Paso 3 - Datos de Tarjeta</t>
        </is>
      </c>
      <c r="K13" s="65" t="n"/>
      <c r="L13" s="65" t="inlineStr">
        <is>
          <t>Pendiente</t>
        </is>
      </c>
      <c r="M13" s="65" t="inlineStr">
        <is>
          <t>[Act. 29/09/2026] Actualizado con las pantallas reales</t>
        </is>
      </c>
    </row>
    <row r="14" ht="75" customHeight="1" s="32">
      <c r="A14" s="65" t="inlineStr">
        <is>
          <t>TC-BP-013</t>
        </is>
      </c>
      <c r="B14" s="65" t="inlineStr">
        <is>
          <t>03. Paso 2 - Direccion</t>
        </is>
      </c>
      <c r="C14" s="65" t="inlineStr">
        <is>
          <t>No ingresar ningun dato de direccion y dar clic en 'Continuar'</t>
        </is>
      </c>
      <c r="D14" s="57" t="inlineStr">
        <is>
          <t>ERROR</t>
        </is>
      </c>
      <c r="E14" s="56" t="inlineStr">
        <is>
          <t>Alta</t>
        </is>
      </c>
      <c r="F14" s="65" t="inlineStr">
        <is>
          <t>El Paso 1 - Contacto fue completado y confirmado correctamente</t>
        </is>
      </c>
      <c r="G14" s="65" t="inlineStr">
        <is>
          <t>N/A</t>
        </is>
      </c>
      <c r="H14" s="65" t="inlineStr">
        <is>
          <t>1. Dejar todos los campos de direccion vacios
2. Dar clic en 'Continuar'</t>
        </is>
      </c>
      <c r="I14" s="65" t="inlineStr">
        <is>
          <t>Formulario vacio</t>
        </is>
      </c>
      <c r="J14" s="65" t="inlineStr">
        <is>
          <t>El sistema no avanza; muestra 'Este campo es requerido' en calle, codigo postal, ciudad y estado</t>
        </is>
      </c>
      <c r="K14" s="65" t="n"/>
      <c r="L14" s="65" t="inlineStr">
        <is>
          <t>Pendiente</t>
        </is>
      </c>
      <c r="M14" s="65" t="inlineStr">
        <is>
          <t>[Act. 29/09/2026] Actualizado con las pantallas reales
[Act. 29/09/2026] Observado: el Estado usa la validacion nativa del navegador ('Please select an item in the list.', en ingles) y bloquea los mensajes de la pagina</t>
        </is>
      </c>
    </row>
    <row r="15" ht="75" customHeight="1" s="32">
      <c r="A15" s="65" t="inlineStr">
        <is>
          <t>TC-BP-014</t>
        </is>
      </c>
      <c r="B15" s="65" t="inlineStr">
        <is>
          <t>03. Paso 2 - Direccion</t>
        </is>
      </c>
      <c r="C15" s="65" t="inlineStr">
        <is>
          <t>Ingresar un codigo postal incompleto</t>
        </is>
      </c>
      <c r="D15" s="57" t="inlineStr">
        <is>
          <t>ERROR</t>
        </is>
      </c>
      <c r="E15" s="67" t="inlineStr">
        <is>
          <t>Media</t>
        </is>
      </c>
      <c r="F15" s="65" t="inlineStr">
        <is>
          <t>El Paso 1 - Contacto fue completado y confirmado correctamente</t>
        </is>
      </c>
      <c r="G15" s="65" t="inlineStr">
        <is>
          <t>N/A</t>
        </is>
      </c>
      <c r="H15" s="65" t="inlineStr">
        <is>
          <t>1. Escribir '720' en el campo de codigo postal
2. Dar clic en 'Continuar'</t>
        </is>
      </c>
      <c r="I15" s="65" t="inlineStr">
        <is>
          <t>CP: 2000</t>
        </is>
      </c>
      <c r="J15" s="65" t="inlineStr">
        <is>
          <t>El sistema muestra 'Debe ser un codigo postal valido.' y no permite avanzar</t>
        </is>
      </c>
      <c r="K15" s="65" t="n"/>
      <c r="L15" s="65" t="inlineStr">
        <is>
          <t>Pendiente</t>
        </is>
      </c>
      <c r="M15" s="65" t="inlineStr">
        <is>
          <t>[Act. 29/09/2026] Actualizado con las pantallas reales</t>
        </is>
      </c>
    </row>
    <row r="16" ht="75" customHeight="1" s="32">
      <c r="A16" s="65" t="inlineStr">
        <is>
          <t>TC-BP-015</t>
        </is>
      </c>
      <c r="B16" s="65" t="inlineStr">
        <is>
          <t>03. Paso 2 - Direccion</t>
        </is>
      </c>
      <c r="C16" s="65" t="inlineStr">
        <is>
          <t>Ingresar un codigo postal que no existe en el catalogo</t>
        </is>
      </c>
      <c r="D16" s="57" t="inlineStr">
        <is>
          <t>ERROR</t>
        </is>
      </c>
      <c r="E16" s="63" t="inlineStr">
        <is>
          <t>Baja</t>
        </is>
      </c>
      <c r="F16" s="65" t="inlineStr">
        <is>
          <t>El Paso 1 - Contacto fue completado y confirmado correctamente</t>
        </is>
      </c>
      <c r="G16" s="65" t="inlineStr">
        <is>
          <t>N/A</t>
        </is>
      </c>
      <c r="H16" s="65" t="inlineStr">
        <is>
          <t>1. Escribir '00000' en el campo de codigo postal</t>
        </is>
      </c>
      <c r="I16" s="65" t="inlineStr">
        <is>
          <t>CP: 00000</t>
        </is>
      </c>
      <c r="J16" s="65" t="inlineStr">
        <is>
          <t>El sistema avisa que no encontro colonias para ese codigo postal y permite corregirlo</t>
        </is>
      </c>
      <c r="K16" s="65" t="n"/>
      <c r="L16" s="65" t="inlineStr">
        <is>
          <t>Pendiente</t>
        </is>
      </c>
      <c r="M16" s="65" t="inlineStr">
        <is>
          <t>[Act. 29/09/2026] El validador actual solo revisa el formato (5 digitos); no consulta un catalogo de codigos postales</t>
        </is>
      </c>
    </row>
    <row r="17" ht="75" customHeight="1" s="32">
      <c r="A17" s="65" t="inlineStr">
        <is>
          <t>TC-BP-016</t>
        </is>
      </c>
      <c r="B17" s="65" t="inlineStr">
        <is>
          <t>03. Paso 2 - Direccion</t>
        </is>
      </c>
      <c r="C17" s="65" t="inlineStr">
        <is>
          <t>Regresar al Paso 1 - Contacto y verificar que los datos no se pierdan</t>
        </is>
      </c>
      <c r="D17" s="58" t="inlineStr">
        <is>
          <t>ESPECIAL</t>
        </is>
      </c>
      <c r="E17" s="67" t="inlineStr">
        <is>
          <t>Media</t>
        </is>
      </c>
      <c r="F17" s="65" t="inlineStr">
        <is>
          <t>Paso 2 - Direccion visible, con datos del Paso 1 ya capturados</t>
        </is>
      </c>
      <c r="G17" s="65" t="inlineStr">
        <is>
          <t>N/A</t>
        </is>
      </c>
      <c r="H17" s="65" t="inlineStr">
        <is>
          <t>1. Estando en el Paso 2, dar clic en 'Regresar'
2. Revisar los campos de telefono y correo</t>
        </is>
      </c>
      <c r="I17" s="65" t="inlineStr">
        <is>
          <t>N/A</t>
        </is>
      </c>
      <c r="J17" s="65" t="inlineStr">
        <is>
          <t>Los datos ingresados anteriormente siguen ahi, no se borran</t>
        </is>
      </c>
      <c r="K17" s="65" t="n"/>
      <c r="L17" s="65" t="inlineStr">
        <is>
          <t>Pendiente</t>
        </is>
      </c>
      <c r="M17" s="65" t="inlineStr">
        <is>
          <t>[Act. 29/09/2026] Actualizado con las pantallas reales</t>
        </is>
      </c>
    </row>
    <row r="18" ht="75" customHeight="1" s="32">
      <c r="A18" s="60" t="inlineStr">
        <is>
          <t>TC-BP-017</t>
        </is>
      </c>
      <c r="B18" s="60" t="inlineStr">
        <is>
          <t>04. Paso 3 - Datos de Tarjeta</t>
        </is>
      </c>
      <c r="C18" s="60" t="inlineStr">
        <is>
          <t>Flujo completo: pagar con una tarjeta valida</t>
        </is>
      </c>
      <c r="D18" s="61" t="inlineStr">
        <is>
          <t>EXITO</t>
        </is>
      </c>
      <c r="E18" s="56" t="inlineStr">
        <is>
          <t>Alta</t>
        </is>
      </c>
      <c r="F18" s="60" t="inlineStr">
        <is>
          <t>Los Pasos 1 (Contacto) y 2 (Direccion) fueron completados y confirmados correctamente</t>
        </is>
      </c>
      <c r="G18" s="60" t="inlineStr">
        <is>
          <t>Depende de la tarjeta de prueba usada (ver Modulo 5 para los escenarios con y sin 3D Secure)</t>
        </is>
      </c>
      <c r="H18" s="60" t="inlineStr">
        <is>
          <t>1. Ingresar nombre, apellido, numero de tarjeta, vencimiento y CVV validos
2. Dar clic en 'Continuar'</t>
        </is>
      </c>
      <c r="I18" s="60" t="inlineStr">
        <is>
          <t>Tarjeta de prueba valida (Visa/Mastercard)</t>
        </is>
      </c>
      <c r="J18" s="60" t="inlineStr">
        <is>
          <t>El sistema acepta los datos y muestra el Paso 4 - 'Revisa tu informacion antes de pagar'</t>
        </is>
      </c>
      <c r="K18" s="60" t="n"/>
      <c r="L18" s="60" t="inlineStr">
        <is>
          <t>Pendiente</t>
        </is>
      </c>
      <c r="M18" s="60" t="inlineStr">
        <is>
          <t>[Act. 29/09/2026] Actualizado con las pantallas reales</t>
        </is>
      </c>
    </row>
    <row r="19" ht="75" customHeight="1" s="32">
      <c r="A19" s="60" t="inlineStr">
        <is>
          <t>TC-BP-018</t>
        </is>
      </c>
      <c r="B19" s="60" t="inlineStr">
        <is>
          <t>04. Paso 3 - Datos de Tarjeta</t>
        </is>
      </c>
      <c r="C19" s="60" t="inlineStr">
        <is>
          <t>No ingresar ningun dato de tarjeta y dar clic en 'Pagar'</t>
        </is>
      </c>
      <c r="D19" s="62" t="inlineStr">
        <is>
          <t>ERROR</t>
        </is>
      </c>
      <c r="E19" s="56" t="inlineStr">
        <is>
          <t>Alta</t>
        </is>
      </c>
      <c r="F19" s="60" t="inlineStr">
        <is>
          <t>Los Pasos 1 (Contacto) y 2 (Direccion) fueron completados y confirmados correctamente</t>
        </is>
      </c>
      <c r="G19" s="60" t="inlineStr">
        <is>
          <t>No aplica - el pago no llega a procesarse</t>
        </is>
      </c>
      <c r="H19" s="60" t="inlineStr">
        <is>
          <t>1. Dejar todos los campos de tarjeta vacios
2. Dar clic en 'Continuar'</t>
        </is>
      </c>
      <c r="I19" s="60" t="inlineStr">
        <is>
          <t>Formulario vacio</t>
        </is>
      </c>
      <c r="J19" s="60" t="inlineStr">
        <is>
          <t>El sistema no avanza; muestra 'Este campo es requerido' en nombre, apellido, tarjeta, vencimiento y CVV</t>
        </is>
      </c>
      <c r="K19" s="60" t="n"/>
      <c r="L19" s="60" t="inlineStr">
        <is>
          <t>Pendiente</t>
        </is>
      </c>
      <c r="M19" s="60" t="inlineStr">
        <is>
          <t>[Act. 29/09/2026] Actualizado con las pantallas reales</t>
        </is>
      </c>
    </row>
    <row r="20" ht="75" customHeight="1" s="32">
      <c r="A20" s="60" t="inlineStr">
        <is>
          <t>TC-BP-019</t>
        </is>
      </c>
      <c r="B20" s="60" t="inlineStr">
        <is>
          <t>04. Paso 3 - Datos de Tarjeta</t>
        </is>
      </c>
      <c r="C20" s="60" t="inlineStr">
        <is>
          <t>Ingresar campos incompletos en los datos de la tarjeta</t>
        </is>
      </c>
      <c r="D20" s="62" t="inlineStr">
        <is>
          <t>ERROR</t>
        </is>
      </c>
      <c r="E20" s="56" t="inlineStr">
        <is>
          <t>Alta</t>
        </is>
      </c>
      <c r="F20" s="60" t="inlineStr">
        <is>
          <t>Los Pasos 1 (Contacto) y 2 (Direccion) fueron completados y confirmados correctamente</t>
        </is>
      </c>
      <c r="G20" s="60" t="inlineStr">
        <is>
          <t>No aplica - el pago no llega a procesarse</t>
        </is>
      </c>
      <c r="H20" s="60" t="inlineStr">
        <is>
          <t>1. Ingresar solo el numero de tarjeta
2. Dejar el resto de los campos vacios
3. Dar clic en 'Continuar'</t>
        </is>
      </c>
      <c r="I20" s="60" t="inlineStr">
        <is>
          <t>Solo numero de tarjeta capturado</t>
        </is>
      </c>
      <c r="J20" s="60" t="inlineStr">
        <is>
          <t>El sistema no avanza; muestra mensajes en nombre, apellido, vencimiento y CVV</t>
        </is>
      </c>
      <c r="K20" s="60" t="n"/>
      <c r="L20" s="60" t="inlineStr">
        <is>
          <t>Pendiente</t>
        </is>
      </c>
      <c r="M20" s="60" t="inlineStr">
        <is>
          <t>[Act. 29/09/2026] Actualizado con las pantallas reales</t>
        </is>
      </c>
    </row>
    <row r="21" ht="75" customHeight="1" s="32">
      <c r="A21" s="60" t="inlineStr">
        <is>
          <t>TC-BP-020</t>
        </is>
      </c>
      <c r="B21" s="60" t="inlineStr">
        <is>
          <t>04. Paso 3 - Datos de Tarjeta</t>
        </is>
      </c>
      <c r="C21" s="60" t="inlineStr">
        <is>
          <t>Ingresar un numero de tarjeta invalido/incorrecto</t>
        </is>
      </c>
      <c r="D21" s="62" t="inlineStr">
        <is>
          <t>ERROR</t>
        </is>
      </c>
      <c r="E21" s="56" t="inlineStr">
        <is>
          <t>Alta</t>
        </is>
      </c>
      <c r="F21" s="60" t="inlineStr">
        <is>
          <t>Los Pasos 1 (Contacto) y 2 (Direccion) fueron completados y confirmados correctamente</t>
        </is>
      </c>
      <c r="G21" s="60" t="inlineStr">
        <is>
          <t>No aplica - el pago no llega a procesarse</t>
        </is>
      </c>
      <c r="H21" s="60" t="inlineStr">
        <is>
          <t>1. Escribir un numero de tarjeta que no es valido
2. Intentar continuar</t>
        </is>
      </c>
      <c r="I21" s="60" t="inlineStr">
        <is>
          <t>Tarjeta: 4111 1111 1111 1112</t>
        </is>
      </c>
      <c r="J21" s="60" t="inlineStr">
        <is>
          <t>El sistema muestra un mensaje de 'numero de tarjeta invalido' antes de intentar procesar el pago</t>
        </is>
      </c>
      <c r="K21" s="60" t="n"/>
      <c r="L21" s="60" t="inlineStr">
        <is>
          <t>Pendiente</t>
        </is>
      </c>
      <c r="M21" s="60" t="inlineStr">
        <is>
          <t>[Act. 29/09/2026] El formulario solo valida la cantidad de digitos (15 o 16), no el digito verificador (Luhn)</t>
        </is>
      </c>
    </row>
    <row r="22" ht="75" customHeight="1" s="32">
      <c r="A22" s="60" t="inlineStr">
        <is>
          <t>TC-BP-021</t>
        </is>
      </c>
      <c r="B22" s="60" t="inlineStr">
        <is>
          <t>04. Paso 3 - Datos de Tarjeta</t>
        </is>
      </c>
      <c r="C22" s="60" t="inlineStr">
        <is>
          <t>Ingresar una tarjeta con fecha de vencimiento pasada</t>
        </is>
      </c>
      <c r="D22" s="62" t="inlineStr">
        <is>
          <t>ERROR</t>
        </is>
      </c>
      <c r="E22" s="56" t="inlineStr">
        <is>
          <t>Alta</t>
        </is>
      </c>
      <c r="F22" s="60" t="inlineStr">
        <is>
          <t>Los Pasos 1 (Contacto) y 2 (Direccion) fueron completados y confirmados correctamente</t>
        </is>
      </c>
      <c r="G22" s="60" t="inlineStr">
        <is>
          <t>No aplica - el pago no llega a procesarse</t>
        </is>
      </c>
      <c r="H22" s="60" t="inlineStr">
        <is>
          <t>1. Escribir una fecha de vencimiento anterior a la fecha actual
2. Intentar continuar</t>
        </is>
      </c>
      <c r="I22" s="60" t="inlineStr">
        <is>
          <t>Vigencia: 01/20</t>
        </is>
      </c>
      <c r="J22" s="60" t="inlineStr">
        <is>
          <t>El sistema muestra 'Fecha de vencimiento invalida' y no permite continuar</t>
        </is>
      </c>
      <c r="K22" s="60" t="n"/>
      <c r="L22" s="60" t="inlineStr">
        <is>
          <t>Pendiente</t>
        </is>
      </c>
      <c r="M22" s="60" t="inlineStr">
        <is>
          <t>[Act. 29/09/2026] Actualizado con las pantallas reales</t>
        </is>
      </c>
    </row>
    <row r="23" ht="75" customHeight="1" s="32">
      <c r="A23" s="60" t="inlineStr">
        <is>
          <t>TC-BP-022</t>
        </is>
      </c>
      <c r="B23" s="60" t="inlineStr">
        <is>
          <t>04. Paso 3 - Datos de Tarjeta</t>
        </is>
      </c>
      <c r="C23" s="60" t="inlineStr">
        <is>
          <t>Ingresar CVV incorrecto o incompleto</t>
        </is>
      </c>
      <c r="D23" s="62" t="inlineStr">
        <is>
          <t>ERROR</t>
        </is>
      </c>
      <c r="E23" s="67" t="inlineStr">
        <is>
          <t>Media</t>
        </is>
      </c>
      <c r="F23" s="60" t="inlineStr">
        <is>
          <t>Los Pasos 1 (Contacto) y 2 (Direccion) fueron completados y confirmados correctamente</t>
        </is>
      </c>
      <c r="G23" s="60" t="inlineStr">
        <is>
          <t>No aplica - el pago no llega a procesarse</t>
        </is>
      </c>
      <c r="H23" s="60" t="inlineStr">
        <is>
          <t>1. Escribir un CVV de solo 2 digitos
2. Intentar continuar</t>
        </is>
      </c>
      <c r="I23" s="60" t="inlineStr">
        <is>
          <t>CVV: 12</t>
        </is>
      </c>
      <c r="J23" s="60" t="inlineStr">
        <is>
          <t>El sistema muestra 'El CVV debe tener 3 digitos' y no permite continuar</t>
        </is>
      </c>
      <c r="K23" s="60" t="n"/>
      <c r="L23" s="60" t="inlineStr">
        <is>
          <t>Pendiente</t>
        </is>
      </c>
      <c r="M23" s="60" t="inlineStr">
        <is>
          <t>[Act. 29/09/2026] Actualizado con las pantallas reales</t>
        </is>
      </c>
    </row>
    <row r="24" ht="75" customHeight="1" s="32">
      <c r="A24" s="60" t="inlineStr">
        <is>
          <t>TC-BP-023</t>
        </is>
      </c>
      <c r="B24" s="60" t="inlineStr">
        <is>
          <t>04. Paso 3 - Datos de Tarjeta</t>
        </is>
      </c>
      <c r="C24" s="60" t="inlineStr">
        <is>
          <t>Ingresar el NIP/clave incorrecto de la tarjeta al momento de pagar</t>
        </is>
      </c>
      <c r="D24" s="62" t="inlineStr">
        <is>
          <t>ERROR</t>
        </is>
      </c>
      <c r="E24" s="56" t="inlineStr">
        <is>
          <t>Alta</t>
        </is>
      </c>
      <c r="F24" s="60" t="inlineStr">
        <is>
          <t>Datos de tarjeta validos capturados y enviados; el banco emisor solicita autenticacion (3D Secure)</t>
        </is>
      </c>
      <c r="G24" s="60" t="inlineStr">
        <is>
          <t>Si - el NIP/clave se valida dentro de la pantalla de autenticacion del banco</t>
        </is>
      </c>
      <c r="H24" s="60" t="inlineStr">
        <is>
          <t>1. Completar el formulario con una tarjeta valida
2. Al pedir el NIP/clave de la tarjeta, ingresar uno incorrecto
3. Esperar la respuesta del banco</t>
        </is>
      </c>
      <c r="I24" s="60" t="inlineStr">
        <is>
          <t>NIP incorrecto</t>
        </is>
      </c>
      <c r="J24" s="60" t="inlineStr">
        <is>
          <t>Aparece una ventana emergente (popup) indicando que el pago fue rechazado por NIP incorrecto; se permite reintentar</t>
        </is>
      </c>
      <c r="K24" s="60" t="n"/>
      <c r="L24" s="60" t="inlineStr">
        <is>
          <t>Pendiente</t>
        </is>
      </c>
      <c r="M24" s="60" t="n"/>
    </row>
    <row r="25" ht="75" customHeight="1" s="32">
      <c r="A25" s="60" t="inlineStr">
        <is>
          <t>TC-BP-024</t>
        </is>
      </c>
      <c r="B25" s="60" t="inlineStr">
        <is>
          <t>04. Paso 3 - Datos de Tarjeta</t>
        </is>
      </c>
      <c r="C25" s="60" t="inlineStr">
        <is>
          <t>Verificar que el numero de tarjeta se oculte mientras se escribe</t>
        </is>
      </c>
      <c r="D25" s="61" t="inlineStr">
        <is>
          <t>EXITO</t>
        </is>
      </c>
      <c r="E25" s="63" t="inlineStr">
        <is>
          <t>Baja</t>
        </is>
      </c>
      <c r="F25" s="60" t="inlineStr">
        <is>
          <t>Los Pasos 1 (Contacto) y 2 (Direccion) fueron completados y confirmados correctamente</t>
        </is>
      </c>
      <c r="G25" s="60" t="inlineStr">
        <is>
          <t>N/A</t>
        </is>
      </c>
      <c r="H25" s="60" t="inlineStr">
        <is>
          <t>1. Empezar a escribir el numero de tarjeta
2. Observar como se muestran los digitos ya escritos</t>
        </is>
      </c>
      <c r="I25" s="60" t="inlineStr">
        <is>
          <t>N/A</t>
        </is>
      </c>
      <c r="J25" s="60" t="inlineStr">
        <is>
          <t>Los digitos se ocultan mientras se escriben y en el Paso 4 solo se muestran los ultimos 4 (•••• 1234)</t>
        </is>
      </c>
      <c r="K25" s="60" t="n"/>
      <c r="L25" s="60" t="inlineStr">
        <is>
          <t>Pendiente</t>
        </is>
      </c>
      <c r="M25" s="60" t="inlineStr">
        <is>
          <t>[Act. 29/09/2026] Actualizado con las pantallas reales
[Act. 29/09/2026] Observado: el campo muestra el numero completo mientras se escribe; el resumen del Paso 4 si lo enmascara</t>
        </is>
      </c>
    </row>
    <row r="26" ht="75" customHeight="1" s="32">
      <c r="A26" s="65" t="inlineStr">
        <is>
          <t>TC-BP-025</t>
        </is>
      </c>
      <c r="B26" s="65" t="inlineStr">
        <is>
          <t>05. Procesamiento del Pago y Autenticacion del Banco (3D Secure)</t>
        </is>
      </c>
      <c r="C26" s="65" t="inlineStr">
        <is>
          <t>Pago exitoso sin pedir autenticacion adicional del banco</t>
        </is>
      </c>
      <c r="D26" s="66" t="inlineStr">
        <is>
          <t>EXITO</t>
        </is>
      </c>
      <c r="E26" s="56" t="inlineStr">
        <is>
          <t>Alta</t>
        </is>
      </c>
      <c r="F26" s="65" t="inlineStr">
        <is>
          <t>Datos de tarjeta validos capturados y enviados a procesar</t>
        </is>
      </c>
      <c r="G26" s="65" t="inlineStr">
        <is>
          <t>No - tarjeta de prueba configurada sin 3D Secure</t>
        </is>
      </c>
      <c r="H26" s="65" t="inlineStr">
        <is>
          <t>1. Confirmar el pago con una tarjeta que no pide autenticacion extra</t>
        </is>
      </c>
      <c r="I26" s="65" t="inlineStr">
        <is>
          <t>Tarjeta de prueba sin 3D Secure</t>
        </is>
      </c>
      <c r="J26" s="65" t="inlineStr">
        <is>
          <t>El pago se procesa directamente y avanza a la pantalla de resultado</t>
        </is>
      </c>
      <c r="K26" s="65" t="n"/>
      <c r="L26" s="65" t="inlineStr">
        <is>
          <t>Pendiente</t>
        </is>
      </c>
      <c r="M26" s="65" t="n"/>
    </row>
    <row r="27" ht="75" customHeight="1" s="32">
      <c r="A27" s="65" t="inlineStr">
        <is>
          <t>TC-BP-026</t>
        </is>
      </c>
      <c r="B27" s="65" t="inlineStr">
        <is>
          <t>05. Procesamiento del Pago y Autenticacion del Banco (3D Secure)</t>
        </is>
      </c>
      <c r="C27" s="65" t="inlineStr">
        <is>
          <t>Pago exitoso completando la autenticacion del banco (3D Secure)</t>
        </is>
      </c>
      <c r="D27" s="66" t="inlineStr">
        <is>
          <t>EXITO</t>
        </is>
      </c>
      <c r="E27" s="56" t="inlineStr">
        <is>
          <t>Alta</t>
        </is>
      </c>
      <c r="F27" s="65" t="inlineStr">
        <is>
          <t>Datos de tarjeta validos capturados y enviados a procesar</t>
        </is>
      </c>
      <c r="G27" s="65" t="inlineStr">
        <is>
          <t>Si - tarjeta de prueba configurada con 3D Secure</t>
        </is>
      </c>
      <c r="H27" s="65" t="inlineStr">
        <is>
          <t>1. Confirmar el pago con una tarjeta que pide autenticacion del banco
2. Completar la verificacion que pide el banco (clave/codigo)</t>
        </is>
      </c>
      <c r="I27" s="65" t="inlineStr">
        <is>
          <t>Tarjeta de prueba con 3D Secure</t>
        </is>
      </c>
      <c r="J27" s="65" t="inlineStr">
        <is>
          <t>El usuario regresa correctamente a Memphis y el resultado del pago se muestra bien</t>
        </is>
      </c>
      <c r="K27" s="65" t="n"/>
      <c r="L27" s="65" t="inlineStr">
        <is>
          <t>Pendiente</t>
        </is>
      </c>
      <c r="M27" s="65" t="inlineStr">
        <is>
          <t>[Act. 29/09/2026] El 3D Secure es una redireccion de pagina completa al sitio del banco (no una ventana emergente)</t>
        </is>
      </c>
    </row>
    <row r="28" ht="75" customHeight="1" s="32">
      <c r="A28" s="65" t="inlineStr">
        <is>
          <t>TC-BP-027</t>
        </is>
      </c>
      <c r="B28" s="65" t="inlineStr">
        <is>
          <t>05. Procesamiento del Pago y Autenticacion del Banco (3D Secure)</t>
        </is>
      </c>
      <c r="C28" s="65" t="inlineStr">
        <is>
          <t>Cancelar o cerrar la ventana de verificacion del banco sin completarla</t>
        </is>
      </c>
      <c r="D28" s="58" t="inlineStr">
        <is>
          <t>ESPECIAL</t>
        </is>
      </c>
      <c r="E28" s="56" t="inlineStr">
        <is>
          <t>Alta</t>
        </is>
      </c>
      <c r="F28" s="65" t="inlineStr">
        <is>
          <t>Pago enviado a procesar; el banco esta solicitando 3D Secure</t>
        </is>
      </c>
      <c r="G28" s="65" t="inlineStr">
        <is>
          <t>Si</t>
        </is>
      </c>
      <c r="H28" s="65" t="inlineStr">
        <is>
          <t>1. Al llegar a la pantalla de verificacion del banco, cerrarla o darle 'cancelar'</t>
        </is>
      </c>
      <c r="I28" s="65" t="inlineStr">
        <is>
          <t>N/A</t>
        </is>
      </c>
      <c r="J28" s="65" t="inlineStr">
        <is>
          <t>El sistema regresa al flujo de Memphis y muestra un mensaje de error, permitiendo reintentar el pago</t>
        </is>
      </c>
      <c r="K28" s="65" t="n"/>
      <c r="L28" s="65" t="inlineStr">
        <is>
          <t>Pendiente</t>
        </is>
      </c>
      <c r="M28" s="65" t="inlineStr">
        <is>
          <t>Comun en usuarios que no entienden la pantalla del banco y la cierran</t>
        </is>
      </c>
    </row>
    <row r="29" ht="75" customHeight="1" s="32">
      <c r="A29" s="65" t="inlineStr">
        <is>
          <t>TC-BP-028</t>
        </is>
      </c>
      <c r="B29" s="65" t="inlineStr">
        <is>
          <t>05. Procesamiento del Pago y Autenticacion del Banco (3D Secure)</t>
        </is>
      </c>
      <c r="C29" s="65" t="inlineStr">
        <is>
          <t>El usuario tarda demasiado en responder en la pantalla del banco</t>
        </is>
      </c>
      <c r="D29" s="58" t="inlineStr">
        <is>
          <t>ESPECIAL</t>
        </is>
      </c>
      <c r="E29" s="67" t="inlineStr">
        <is>
          <t>Media</t>
        </is>
      </c>
      <c r="F29" s="65" t="inlineStr">
        <is>
          <t>Pago enviado a procesar; el banco esta solicitando 3D Secure</t>
        </is>
      </c>
      <c r="G29" s="65" t="inlineStr">
        <is>
          <t>Si</t>
        </is>
      </c>
      <c r="H29" s="65" t="inlineStr">
        <is>
          <t>1. Llegar a la pantalla de verificacion del banco
2. No hacer nada y dejar pasar varios minutos</t>
        </is>
      </c>
      <c r="I29" s="65" t="inlineStr">
        <is>
          <t>N/A</t>
        </is>
      </c>
      <c r="J29" s="65" t="inlineStr">
        <is>
          <t>El sistema muestra un mensaje de tiempo agotado y permite reintentar el pago sin cobrar dos veces</t>
        </is>
      </c>
      <c r="K29" s="65" t="n"/>
      <c r="L29" s="65" t="inlineStr">
        <is>
          <t>Pendiente</t>
        </is>
      </c>
      <c r="M29" s="65" t="n"/>
    </row>
    <row r="30" ht="75" customHeight="1" s="32">
      <c r="A30" s="60" t="inlineStr">
        <is>
          <t>TC-BP-029</t>
        </is>
      </c>
      <c r="B30" s="60" t="inlineStr">
        <is>
          <t>06. Resultado Exitoso (fin del alcance QA - redireccion al Gobierno)</t>
        </is>
      </c>
      <c r="C30" s="60" t="inlineStr">
        <is>
          <t>Verificar la pantalla de 'Transaccion aprobada'</t>
        </is>
      </c>
      <c r="D30" s="61" t="inlineStr">
        <is>
          <t>EXITO</t>
        </is>
      </c>
      <c r="E30" s="56" t="inlineStr">
        <is>
          <t>Alta</t>
        </is>
      </c>
      <c r="F30" s="60" t="inlineStr">
        <is>
          <t>El pago fue enviado al banco y aprobado (con o sin 3D Secure, segun la tarjeta de prueba usada)</t>
        </is>
      </c>
      <c r="G30" s="60" t="inlineStr">
        <is>
          <t>Aplica igual con o sin 3D Secure</t>
        </is>
      </c>
      <c r="H30" s="60" t="inlineStr">
        <is>
          <t>1. Completar un pago exitoso
2. Revisar la informacion mostrada en pantalla</t>
        </is>
      </c>
      <c r="I30" s="60" t="inlineStr">
        <is>
          <t>N/A</t>
        </is>
      </c>
      <c r="J30" s="60" t="inlineStr">
        <is>
          <t>Se muestra 'Transaccion aprobada' con Estado, Codigo de respuesta, Referencia, Autorizacion e Identificador</t>
        </is>
      </c>
      <c r="K30" s="60" t="n"/>
      <c r="L30" s="60" t="inlineStr">
        <is>
          <t>Pendiente</t>
        </is>
      </c>
      <c r="M30" s="60" t="inlineStr">
        <is>
          <t>[Act. 29/09/2026] Actualizado con las pantallas reales</t>
        </is>
      </c>
    </row>
    <row r="31" ht="75" customHeight="1" s="32">
      <c r="A31" s="60" t="inlineStr">
        <is>
          <t>TC-BP-030</t>
        </is>
      </c>
      <c r="B31" s="60" t="inlineStr">
        <is>
          <t>06. Resultado Exitoso (fin del alcance QA - redireccion al Gobierno)</t>
        </is>
      </c>
      <c r="C31" s="60" t="inlineStr">
        <is>
          <t>Esperar a que el contador regresivo llegue a cero y se redirija al Gobierno de Puebla</t>
        </is>
      </c>
      <c r="D31" s="61" t="inlineStr">
        <is>
          <t>EXITO</t>
        </is>
      </c>
      <c r="E31" s="67" t="inlineStr">
        <is>
          <t>Media</t>
        </is>
      </c>
      <c r="F31" s="60" t="inlineStr">
        <is>
          <t>El pago fue enviado al banco y aprobado (con o sin 3D Secure, segun la tarjeta de prueba usada)</t>
        </is>
      </c>
      <c r="G31" s="60" t="inlineStr">
        <is>
          <t>Aplica igual con o sin 3D Secure</t>
        </is>
      </c>
      <c r="H31" s="60" t="inlineStr">
        <is>
          <t>1. En la pantalla de exito, no hacer nada y dejar correr el contador
2. Verificar que la redireccion final ocurra</t>
        </is>
      </c>
      <c r="I31" s="60" t="inlineStr">
        <is>
          <t>N/A</t>
        </is>
      </c>
      <c r="J31" s="60" t="inlineStr">
        <is>
          <t>Se muestra '¡No cierres esta ventana!' con un contador de 10 segundos; al llegar a cero se redirige al sitio del Gobierno de Puebla</t>
        </is>
      </c>
      <c r="K31" s="60" t="n"/>
      <c r="L31" s="60" t="inlineStr">
        <is>
          <t>Pendiente</t>
        </is>
      </c>
      <c r="M31" s="60" t="inlineStr">
        <is>
          <t>Fin del alcance de QA de Memphis: solo se valida que la redireccion ocurra correctamente; el contenido de la pagina destino del Gobierno de Puebla NO forma parte de esta matriz
[Act. 29/09/2026] Actualizado con las pantallas reales</t>
        </is>
      </c>
    </row>
    <row r="32" ht="75" customHeight="1" s="32">
      <c r="A32" s="60" t="inlineStr">
        <is>
          <t>TC-BP-031</t>
        </is>
      </c>
      <c r="B32" s="60" t="inlineStr">
        <is>
          <t>06. Resultado Exitoso (fin del alcance QA - redireccion al Gobierno)</t>
        </is>
      </c>
      <c r="C32" s="60" t="inlineStr">
        <is>
          <t>Dar clic en 'Continuar' antes de que termine el contador</t>
        </is>
      </c>
      <c r="D32" s="61" t="inlineStr">
        <is>
          <t>EXITO</t>
        </is>
      </c>
      <c r="E32" s="63" t="inlineStr">
        <is>
          <t>Baja</t>
        </is>
      </c>
      <c r="F32" s="60" t="inlineStr">
        <is>
          <t>El pago fue enviado al banco y aprobado (con o sin 3D Secure, segun la tarjeta de prueba usada)</t>
        </is>
      </c>
      <c r="G32" s="60" t="inlineStr">
        <is>
          <t>Aplica igual con o sin 3D Secure</t>
        </is>
      </c>
      <c r="H32" s="60" t="inlineStr">
        <is>
          <t>1. En la pantalla de exito, dar clic en 'Continuar en N s.' antes de que el contador llegue a cero</t>
        </is>
      </c>
      <c r="I32" s="60" t="inlineStr">
        <is>
          <t>N/A</t>
        </is>
      </c>
      <c r="J32" s="60" t="inlineStr">
        <is>
          <t>El sistema redirige de inmediato hacia el sitio del Gobierno de Puebla, sin esperar a que termine el conteo</t>
        </is>
      </c>
      <c r="K32" s="60" t="n"/>
      <c r="L32" s="60" t="inlineStr">
        <is>
          <t>Pendiente</t>
        </is>
      </c>
      <c r="M32" s="60" t="inlineStr">
        <is>
          <t>[Act. 29/09/2026] Actualizado con las pantallas reales</t>
        </is>
      </c>
    </row>
    <row r="33" ht="75" customHeight="1" s="32">
      <c r="A33" s="65" t="inlineStr">
        <is>
          <t>TC-BP-032</t>
        </is>
      </c>
      <c r="B33" s="65" t="inlineStr">
        <is>
          <t>07. Resultado Fallido y Reintento</t>
        </is>
      </c>
      <c r="C33" s="65" t="inlineStr">
        <is>
          <t>Verificar la pantalla de 'Transaccion rechazada'</t>
        </is>
      </c>
      <c r="D33" s="57" t="inlineStr">
        <is>
          <t>ERROR</t>
        </is>
      </c>
      <c r="E33" s="56" t="inlineStr">
        <is>
          <t>Alta</t>
        </is>
      </c>
      <c r="F33" s="65" t="inlineStr">
        <is>
          <t>El pago fue enviado al banco y rechazado, o fue rechazado por el sistema antes de llegar al banco</t>
        </is>
      </c>
      <c r="G33" s="65" t="inlineStr">
        <is>
          <t>Aplica igual con o sin 3D Secure</t>
        </is>
      </c>
      <c r="H33" s="65" t="inlineStr">
        <is>
          <t>1. Provocar un rechazo usando una tarjeta de prueba declinada
2. Revisar la informacion mostrada</t>
        </is>
      </c>
      <c r="I33" s="65" t="inlineStr">
        <is>
          <t>Tarjeta de prueba declinada</t>
        </is>
      </c>
      <c r="J33" s="65" t="inlineStr">
        <is>
          <t>Se muestra 'Transaccion rechazada' con Estado y Codigo de respuesta, y el aviso 'Ha ocurrido un error al procesar el pago.'</t>
        </is>
      </c>
      <c r="K33" s="65" t="n"/>
      <c r="L33" s="65" t="inlineStr">
        <is>
          <t>Pendiente</t>
        </is>
      </c>
      <c r="M33" s="65" t="inlineStr">
        <is>
          <t>[Act. 29/09/2026] Actualizado con las pantallas reales</t>
        </is>
      </c>
    </row>
    <row r="34" ht="75" customHeight="1" s="32">
      <c r="A34" s="65" t="inlineStr">
        <is>
          <t>TC-BP-033</t>
        </is>
      </c>
      <c r="B34" s="65" t="inlineStr">
        <is>
          <t>07. Resultado Fallido y Reintento</t>
        </is>
      </c>
      <c r="C34" s="65" t="inlineStr">
        <is>
          <t>Dar clic en 'Reintentar' tras un pago rechazado</t>
        </is>
      </c>
      <c r="D34" s="66" t="inlineStr">
        <is>
          <t>EXITO</t>
        </is>
      </c>
      <c r="E34" s="56" t="inlineStr">
        <is>
          <t>Alta</t>
        </is>
      </c>
      <c r="F34" s="65" t="inlineStr">
        <is>
          <t>El pago fue enviado al banco y rechazado, o fue rechazado por el sistema antes de llegar al banco</t>
        </is>
      </c>
      <c r="G34" s="65" t="inlineStr">
        <is>
          <t>N/A</t>
        </is>
      </c>
      <c r="H34" s="65" t="inlineStr">
        <is>
          <t>1. Tras un rechazo, dar clic en el boton 'Reintentar'</t>
        </is>
      </c>
      <c r="I34" s="65" t="inlineStr">
        <is>
          <t>N/A</t>
        </is>
      </c>
      <c r="J34" s="65" t="inlineStr">
        <is>
          <t>El sistema regresa al formulario de pago para intentar de nuevo, sin perder la referencia original</t>
        </is>
      </c>
      <c r="K34" s="65" t="n"/>
      <c r="L34" s="65" t="inlineStr">
        <is>
          <t>Pendiente</t>
        </is>
      </c>
      <c r="M34" s="65" t="n"/>
    </row>
    <row r="35" ht="75" customHeight="1" s="32">
      <c r="A35" s="65" t="inlineStr">
        <is>
          <t>TC-BP-034</t>
        </is>
      </c>
      <c r="B35" s="65" t="inlineStr">
        <is>
          <t>07. Resultado Fallido y Reintento</t>
        </is>
      </c>
      <c r="C35" s="65" t="inlineStr">
        <is>
          <t>Reintentar el pago con una tarjeta valida despues de un primer rechazo</t>
        </is>
      </c>
      <c r="D35" s="66" t="inlineStr">
        <is>
          <t>EXITO</t>
        </is>
      </c>
      <c r="E35" s="56" t="inlineStr">
        <is>
          <t>Alta</t>
        </is>
      </c>
      <c r="F35" s="65" t="inlineStr">
        <is>
          <t>Primer intento rechazado; boton 'Reintentar' presionado</t>
        </is>
      </c>
      <c r="G35" s="65" t="inlineStr">
        <is>
          <t>Depende de la tarjeta de prueba usada en el reintento</t>
        </is>
      </c>
      <c r="H35" s="65" t="inlineStr">
        <is>
          <t>1. Tras un rechazo, dar clic en 'Reintentar'
2. Completar el pago con una tarjeta valida</t>
        </is>
      </c>
      <c r="I35" s="65" t="inlineStr">
        <is>
          <t>Tarjeta valida en el segundo intento</t>
        </is>
      </c>
      <c r="J35" s="65" t="inlineStr">
        <is>
          <t>El segundo intento se aprueba correctamente y se muestra la pantalla de exito</t>
        </is>
      </c>
      <c r="K35" s="65" t="n"/>
      <c r="L35" s="65" t="inlineStr">
        <is>
          <t>Pendiente</t>
        </is>
      </c>
      <c r="M35" s="65" t="n"/>
    </row>
    <row r="36" ht="75" customHeight="1" s="32">
      <c r="A36" s="65" t="inlineStr">
        <is>
          <t>TC-BP-035</t>
        </is>
      </c>
      <c r="B36" s="65" t="inlineStr">
        <is>
          <t>07. Resultado Fallido y Reintento</t>
        </is>
      </c>
      <c r="C36" s="65" t="inlineStr">
        <is>
          <t>Insistir varias veces seguidas con la misma tarjeta rechazada</t>
        </is>
      </c>
      <c r="D36" s="58" t="inlineStr">
        <is>
          <t>ESPECIAL</t>
        </is>
      </c>
      <c r="E36" s="67" t="inlineStr">
        <is>
          <t>Media</t>
        </is>
      </c>
      <c r="F36" s="65" t="inlineStr">
        <is>
          <t>Tarjeta de prueba declinada disponible para repetir el intento</t>
        </is>
      </c>
      <c r="G36" s="65" t="inlineStr">
        <is>
          <t>N/A</t>
        </is>
      </c>
      <c r="H36" s="65" t="inlineStr">
        <is>
          <t>1. Reintentar el pago 3 o mas veces seguidas con la misma tarjeta declinada</t>
        </is>
      </c>
      <c r="I36" s="65" t="inlineStr">
        <is>
          <t>Tarjeta declinada, 3+ intentos</t>
        </is>
      </c>
      <c r="J36" s="65" t="inlineStr">
        <is>
          <t>El sistema permite los reintentos sin bloquear al usuario, y no genera ningun cobro parcial</t>
        </is>
      </c>
      <c r="K36" s="65" t="n"/>
      <c r="L36" s="65" t="inlineStr">
        <is>
          <t>Pendiente</t>
        </is>
      </c>
      <c r="M36" s="65" t="n"/>
    </row>
    <row r="37" ht="75" customHeight="1" s="32">
      <c r="A37" s="60" t="inlineStr">
        <is>
          <t>TC-BP-036</t>
        </is>
      </c>
      <c r="B37" s="60" t="inlineStr">
        <is>
          <t>08. Casos Especiales de Navegacion (usuario con poco conocimiento tecnico)</t>
        </is>
      </c>
      <c r="C37" s="60" t="inlineStr">
        <is>
          <t>Presionar F5 (recargar la pagina) durante el llenado de cualquier paso</t>
        </is>
      </c>
      <c r="D37" s="64" t="inlineStr">
        <is>
          <t>ESPECIAL</t>
        </is>
      </c>
      <c r="E37" s="56" t="inlineStr">
        <is>
          <t>Alta</t>
        </is>
      </c>
      <c r="F37" s="60" t="inlineStr">
        <is>
          <t>Cualquier paso del formulario (Contacto, Direccion o Tarjeta) con datos parcialmente capturados</t>
        </is>
      </c>
      <c r="G37" s="60" t="inlineStr">
        <is>
          <t>N/A</t>
        </is>
      </c>
      <c r="H37" s="60" t="inlineStr">
        <is>
          <t>1. Llenar parcialmente cualquier paso del formulario
2. Presionar F5 o el boton de recargar del navegador</t>
        </is>
      </c>
      <c r="I37" s="60" t="inlineStr">
        <is>
          <t>N/A</t>
        </is>
      </c>
      <c r="J37" s="60" t="inlineStr">
        <is>
          <t>La pagina regresa a un estado correcto (reinicia el formulario o recupera el progreso); no se genera ningun cobro ni error tecnico feo en pantalla</t>
        </is>
      </c>
      <c r="K37" s="60" t="n"/>
      <c r="L37" s="60" t="inlineStr">
        <is>
          <t>Pendiente</t>
        </is>
      </c>
      <c r="M37" s="60" t="n"/>
    </row>
    <row r="38" ht="75" customHeight="1" s="32">
      <c r="A38" s="60" t="inlineStr">
        <is>
          <t>TC-BP-037</t>
        </is>
      </c>
      <c r="B38" s="60" t="inlineStr">
        <is>
          <t>08. Casos Especiales de Navegacion (usuario con poco conocimiento tecnico)</t>
        </is>
      </c>
      <c r="C38" s="60" t="inlineStr">
        <is>
          <t>Presionar F5 justo despues de confirmar el pago (pantalla 'Procesando')</t>
        </is>
      </c>
      <c r="D38" s="64" t="inlineStr">
        <is>
          <t>ESPECIAL</t>
        </is>
      </c>
      <c r="E38" s="56" t="inlineStr">
        <is>
          <t>Alta</t>
        </is>
      </c>
      <c r="F38" s="60" t="inlineStr">
        <is>
          <t>Pago recien confirmado, pantalla 'Procesando transaccion' visible</t>
        </is>
      </c>
      <c r="G38" s="60" t="inlineStr">
        <is>
          <t>Depende de la tarjeta usada en la prueba</t>
        </is>
      </c>
      <c r="H38" s="60" t="inlineStr">
        <is>
          <t>1. Confirmar el pago
2. Inmediatamente presionar F5 antes de ver el resultado</t>
        </is>
      </c>
      <c r="I38" s="60" t="inlineStr">
        <is>
          <t>N/A</t>
        </is>
      </c>
      <c r="J38" s="60" t="inlineStr">
        <is>
          <t>El sistema NO cobra dos veces; al recargar muestra el resultado real del pago (aprobado, rechazado o en proceso)</t>
        </is>
      </c>
      <c r="K38" s="60" t="n"/>
      <c r="L38" s="60" t="inlineStr">
        <is>
          <t>Pendiente</t>
        </is>
      </c>
      <c r="M38" s="60" t="inlineStr">
        <is>
          <t>Caso critico; muy comun en usuarios impacientes que no saben tecnologia</t>
        </is>
      </c>
    </row>
    <row r="39" ht="75" customHeight="1" s="32">
      <c r="A39" s="60" t="inlineStr">
        <is>
          <t>TC-BP-038</t>
        </is>
      </c>
      <c r="B39" s="60" t="inlineStr">
        <is>
          <t>08. Casos Especiales de Navegacion (usuario con poco conocimiento tecnico)</t>
        </is>
      </c>
      <c r="C39" s="60" t="inlineStr">
        <is>
          <t>Presionar el boton 'Atras' del navegador durante el llenado del formulario</t>
        </is>
      </c>
      <c r="D39" s="64" t="inlineStr">
        <is>
          <t>ESPECIAL</t>
        </is>
      </c>
      <c r="E39" s="56" t="inlineStr">
        <is>
          <t>Alta</t>
        </is>
      </c>
      <c r="F39" s="60" t="inlineStr">
        <is>
          <t>Cualquier paso del formulario con datos parcialmente capturados</t>
        </is>
      </c>
      <c r="G39" s="60" t="inlineStr">
        <is>
          <t>N/A</t>
        </is>
      </c>
      <c r="H39" s="60" t="inlineStr">
        <is>
          <t>1. Llenar parcialmente cualquier paso
2. Presionar el boton 'Atras' del navegador (no el de la pagina)</t>
        </is>
      </c>
      <c r="I39" s="60" t="inlineStr">
        <is>
          <t>N/A</t>
        </is>
      </c>
      <c r="J39" s="60" t="inlineStr">
        <is>
          <t>El sistema maneja bien la navegacion; no muestra errores raros ni deja el formulario en un estado inconsistente</t>
        </is>
      </c>
      <c r="K39" s="60" t="n"/>
      <c r="L39" s="60" t="inlineStr">
        <is>
          <t>Pendiente</t>
        </is>
      </c>
      <c r="M39" s="60" t="n"/>
    </row>
    <row r="40" ht="75" customHeight="1" s="32">
      <c r="A40" s="60" t="inlineStr">
        <is>
          <t>TC-BP-039</t>
        </is>
      </c>
      <c r="B40" s="60" t="inlineStr">
        <is>
          <t>08. Casos Especiales de Navegacion (usuario con poco conocimiento tecnico)</t>
        </is>
      </c>
      <c r="C40" s="60" t="inlineStr">
        <is>
          <t>Presionar 'Atras' despues de ver 'Transaccion aprobada' y luego 'Adelante'</t>
        </is>
      </c>
      <c r="D40" s="64" t="inlineStr">
        <is>
          <t>ESPECIAL</t>
        </is>
      </c>
      <c r="E40" s="56" t="inlineStr">
        <is>
          <t>Alta</t>
        </is>
      </c>
      <c r="F40" s="60" t="inlineStr">
        <is>
          <t>El pago fue enviado al banco y aprobado (con o sin 3D Secure, segun la tarjeta de prueba usada)</t>
        </is>
      </c>
      <c r="G40" s="60" t="inlineStr">
        <is>
          <t>N/A</t>
        </is>
      </c>
      <c r="H40" s="60" t="inlineStr">
        <is>
          <t>1. Tras ver la pantalla de exito, presionar 'Atras' del navegador
2. Presionar 'Adelante' de nuevo</t>
        </is>
      </c>
      <c r="I40" s="60" t="inlineStr">
        <is>
          <t>N/A</t>
        </is>
      </c>
      <c r="J40" s="60" t="inlineStr">
        <is>
          <t>El sistema no permite volver a capturar y pagar sobre una transaccion ya cobrada; solo muestra el resultado ya obtenido</t>
        </is>
      </c>
      <c r="K40" s="60" t="n"/>
      <c r="L40" s="60" t="inlineStr">
        <is>
          <t>Pendiente</t>
        </is>
      </c>
      <c r="M40" s="60" t="n"/>
    </row>
    <row r="41" ht="75" customHeight="1" s="32">
      <c r="A41" s="60" t="inlineStr">
        <is>
          <t>TC-BP-040</t>
        </is>
      </c>
      <c r="B41" s="60" t="inlineStr">
        <is>
          <t>08. Casos Especiales de Navegacion (usuario con poco conocimiento tecnico)</t>
        </is>
      </c>
      <c r="C41" s="60" t="inlineStr">
        <is>
          <t>Cerrar la pestana o el navegador justo cuando dice 'Procesando transaccion'</t>
        </is>
      </c>
      <c r="D41" s="64" t="inlineStr">
        <is>
          <t>ESPECIAL</t>
        </is>
      </c>
      <c r="E41" s="56" t="inlineStr">
        <is>
          <t>Alta</t>
        </is>
      </c>
      <c r="F41" s="60" t="inlineStr">
        <is>
          <t>Pago recien confirmado, pantalla 'Procesando transaccion' visible</t>
        </is>
      </c>
      <c r="G41" s="60" t="inlineStr">
        <is>
          <t>Depende de la tarjeta usada en la prueba</t>
        </is>
      </c>
      <c r="H41" s="60" t="inlineStr">
        <is>
          <t>1. Confirmar el pago
2. Cerrar la pestana o el navegador inmediatamente, antes de ver el resultado</t>
        </is>
      </c>
      <c r="I41" s="60" t="inlineStr">
        <is>
          <t>N/A</t>
        </is>
      </c>
      <c r="J41" s="60" t="inlineStr">
        <is>
          <t>El pago queda resuelto correctamente (aprobado o rechazado); al volver a abrir el link no se cobra de nuevo</t>
        </is>
      </c>
      <c r="K41" s="60" t="n"/>
      <c r="L41" s="60" t="inlineStr">
        <is>
          <t>Pendiente</t>
        </is>
      </c>
      <c r="M41" s="60" t="n"/>
    </row>
    <row r="42" ht="75" customHeight="1" s="32">
      <c r="A42" s="60" t="inlineStr">
        <is>
          <t>TC-BP-041</t>
        </is>
      </c>
      <c r="B42" s="60" t="inlineStr">
        <is>
          <t>08. Casos Especiales de Navegacion (usuario con poco conocimiento tecnico)</t>
        </is>
      </c>
      <c r="C42" s="60" t="inlineStr">
        <is>
          <t>Perder la conexion a internet mientras se llena el formulario</t>
        </is>
      </c>
      <c r="D42" s="64" t="inlineStr">
        <is>
          <t>ESPECIAL</t>
        </is>
      </c>
      <c r="E42" s="67" t="inlineStr">
        <is>
          <t>Media</t>
        </is>
      </c>
      <c r="F42" s="60" t="inlineStr">
        <is>
          <t>Cualquier paso del formulario con datos parcialmente capturados; conexion activa</t>
        </is>
      </c>
      <c r="G42" s="60" t="inlineStr">
        <is>
          <t>N/A</t>
        </is>
      </c>
      <c r="H42" s="60" t="inlineStr">
        <is>
          <t>1. Llenar parcialmente cualquier paso
2. Apagar el wifi/datos moviles
3. Intentar continuar
4. Volver a conectar el internet</t>
        </is>
      </c>
      <c r="I42" s="60" t="inlineStr">
        <is>
          <t>N/A</t>
        </is>
      </c>
      <c r="J42" s="60" t="inlineStr">
        <is>
          <t>El sistema avisa claramente que no hay conexion; al recuperar internet, el usuario puede seguir sin perder lo que ya habia escrito</t>
        </is>
      </c>
      <c r="K42" s="60" t="n"/>
      <c r="L42" s="60" t="inlineStr">
        <is>
          <t>Pendiente</t>
        </is>
      </c>
      <c r="M42" s="60" t="n"/>
    </row>
    <row r="43" ht="75" customHeight="1" s="32">
      <c r="A43" s="60" t="inlineStr">
        <is>
          <t>TC-BP-042</t>
        </is>
      </c>
      <c r="B43" s="60" t="inlineStr">
        <is>
          <t>08. Casos Especiales de Navegacion (usuario con poco conocimiento tecnico)</t>
        </is>
      </c>
      <c r="C43" s="60" t="inlineStr">
        <is>
          <t>Perder la conexion a internet justo despues de confirmar el pago</t>
        </is>
      </c>
      <c r="D43" s="64" t="inlineStr">
        <is>
          <t>ESPECIAL</t>
        </is>
      </c>
      <c r="E43" s="56" t="inlineStr">
        <is>
          <t>Alta</t>
        </is>
      </c>
      <c r="F43" s="60" t="inlineStr">
        <is>
          <t>Pago recien confirmado, conexion activa</t>
        </is>
      </c>
      <c r="G43" s="60" t="inlineStr">
        <is>
          <t>Depende de la tarjeta usada en la prueba</t>
        </is>
      </c>
      <c r="H43" s="60" t="inlineStr">
        <is>
          <t>1. Confirmar el pago
2. Apagar el wifi/datos moviles inmediatamente
3. Volver a conectar despues de unos segundos</t>
        </is>
      </c>
      <c r="I43" s="60" t="inlineStr">
        <is>
          <t>N/A</t>
        </is>
      </c>
      <c r="J43" s="60" t="inlineStr">
        <is>
          <t>El sistema no cobra dos veces; al reconectar muestra el resultado real y final del pago</t>
        </is>
      </c>
      <c r="K43" s="60" t="n"/>
      <c r="L43" s="60" t="inlineStr">
        <is>
          <t>Pendiente</t>
        </is>
      </c>
      <c r="M43" s="60" t="n"/>
    </row>
    <row r="44" ht="75" customHeight="1" s="32">
      <c r="A44" s="60" t="inlineStr">
        <is>
          <t>TC-BP-043</t>
        </is>
      </c>
      <c r="B44" s="60" t="inlineStr">
        <is>
          <t>08. Casos Especiales de Navegacion (usuario con poco conocimiento tecnico)</t>
        </is>
      </c>
      <c r="C44" s="60" t="inlineStr">
        <is>
          <t>Dar doble clic o clics rapidos y repetidos en el boton de pagar</t>
        </is>
      </c>
      <c r="D44" s="64" t="inlineStr">
        <is>
          <t>ESPECIAL</t>
        </is>
      </c>
      <c r="E44" s="56" t="inlineStr">
        <is>
          <t>Alta</t>
        </is>
      </c>
      <c r="F44" s="60" t="inlineStr">
        <is>
          <t>Los Pasos 1 (Contacto) y 2 (Direccion) fueron completados y confirmados correctamente</t>
        </is>
      </c>
      <c r="G44" s="60" t="inlineStr">
        <is>
          <t>Depende de la tarjeta usada en la prueba</t>
        </is>
      </c>
      <c r="H44" s="60" t="inlineStr">
        <is>
          <t>1. Llenar el formulario correctamente
2. Dar varios clics rapidos y seguidos sobre el boton 'Pagar' antes de que la pantalla reaccione</t>
        </is>
      </c>
      <c r="I44" s="60" t="inlineStr">
        <is>
          <t>N/A</t>
        </is>
      </c>
      <c r="J44" s="60" t="inlineStr">
        <is>
          <t>El sistema solo procesa un pago; no se generan cobros duplicados</t>
        </is>
      </c>
      <c r="K44" s="60" t="n"/>
      <c r="L44" s="60" t="inlineStr">
        <is>
          <t>Pendiente</t>
        </is>
      </c>
      <c r="M44" s="60" t="inlineStr">
        <is>
          <t>Muy comun en usuarios que no ven respuesta inmediata y vuelven a picarle</t>
        </is>
      </c>
    </row>
    <row r="45" ht="75" customHeight="1" s="32">
      <c r="A45" s="60" t="inlineStr">
        <is>
          <t>TC-BP-044</t>
        </is>
      </c>
      <c r="B45" s="60" t="inlineStr">
        <is>
          <t>08. Casos Especiales de Navegacion (usuario con poco conocimiento tecnico)</t>
        </is>
      </c>
      <c r="C45" s="60" t="inlineStr">
        <is>
          <t>Dejar la pagina de pago abierta sin hacer nada por mucho tiempo, despues de haber empezado a llenar el formulario</t>
        </is>
      </c>
      <c r="D45" s="64" t="inlineStr">
        <is>
          <t>ESPECIAL</t>
        </is>
      </c>
      <c r="E45" s="67" t="inlineStr">
        <is>
          <t>Media</t>
        </is>
      </c>
      <c r="F45" s="60" t="inlineStr">
        <is>
          <t>Cualquier paso del formulario con datos parcialmente capturados</t>
        </is>
      </c>
      <c r="G45" s="60" t="inlineStr">
        <is>
          <t>N/A</t>
        </is>
      </c>
      <c r="H45" s="60" t="inlineStr">
        <is>
          <t>1. Abrir el enlace de pago y empezar a llenar cualquier paso
2. No hacer nada durante un tiempo prolongado (segun el tiempo de vida del token definido por desarrollo)
3. Intentar continuar el llenado</t>
        </is>
      </c>
      <c r="I45" s="60" t="inlineStr">
        <is>
          <t>N/A</t>
        </is>
      </c>
      <c r="J45" s="60" t="inlineStr">
        <is>
          <t>El token expira automaticamente por inactividad; el sistema genera un nuevo token y reinicia el proceso desde la validacion del enlace, sin registrar ningun cobro</t>
        </is>
      </c>
      <c r="K45" s="60" t="n"/>
      <c r="L45" s="60" t="inlineStr">
        <is>
          <t>Pendiente</t>
        </is>
      </c>
      <c r="M45" s="60" t="inlineStr">
        <is>
          <t>Mismo comportamiento esperado que al inicio del flujo (ver Modulo 1): token vencido = nuevo token automatico, nunca un error sin salida
[Act. 29/09/2026] Automatizacion: se espera maximo 120 s; si el token no expira ni se reinicia el flujo en ese tiempo, se marca como 'Tiempo de espera excedido'</t>
        </is>
      </c>
    </row>
    <row r="46" ht="75" customHeight="1" s="32">
      <c r="A46" s="60" t="inlineStr">
        <is>
          <t>TC-BP-045</t>
        </is>
      </c>
      <c r="B46" s="60" t="inlineStr">
        <is>
          <t>08. Casos Especiales de Navegacion (usuario con poco conocimiento tecnico)</t>
        </is>
      </c>
      <c r="C46" s="60" t="inlineStr">
        <is>
          <t>Volver a abrir el mismo enlace mientras el pago anterior sigue en proceso (otra pestana/celular)</t>
        </is>
      </c>
      <c r="D46" s="64" t="inlineStr">
        <is>
          <t>ESPECIAL</t>
        </is>
      </c>
      <c r="E46" s="67" t="inlineStr">
        <is>
          <t>Media</t>
        </is>
      </c>
      <c r="F46" s="60" t="inlineStr">
        <is>
          <t>Pago en curso en otra sesion, usando el mismo enlace/token</t>
        </is>
      </c>
      <c r="G46" s="60" t="inlineStr">
        <is>
          <t>N/A</t>
        </is>
      </c>
      <c r="H46" s="60" t="inlineStr">
        <is>
          <t>1. Empezar el pago en un dispositivo/pestana y dejarlo en 'Procesando'
2. Abrir el mismo enlace en otro dispositivo/pestana</t>
        </is>
      </c>
      <c r="I46" s="60" t="inlineStr">
        <is>
          <t>N/A</t>
        </is>
      </c>
      <c r="J46" s="60" t="inlineStr">
        <is>
          <t>El sistema avisa que ya hay un pago en proceso y no permite iniciar un segundo cobro al mismo tiempo</t>
        </is>
      </c>
      <c r="K46" s="60" t="n"/>
      <c r="L46" s="60" t="inlineStr">
        <is>
          <t>Pendiente</t>
        </is>
      </c>
      <c r="M46" s="60" t="inlineStr">
        <is>
          <t>[Act. 29/09/2026] Automatizacion: requiere una tarjeta que deje el pago en proceso (3DS) para abrir el link en paralelo</t>
        </is>
      </c>
    </row>
    <row r="47" ht="75" customHeight="1" s="32">
      <c r="A47" s="60" t="inlineStr">
        <is>
          <t>TC-BP-046</t>
        </is>
      </c>
      <c r="B47" s="60" t="inlineStr">
        <is>
          <t>08. Casos Especiales de Navegacion (usuario con poco conocimiento tecnico)</t>
        </is>
      </c>
      <c r="C47" s="60" t="inlineStr">
        <is>
          <t>Pegar un correo copiado con espacios de mas al inicio o al final</t>
        </is>
      </c>
      <c r="D47" s="64" t="inlineStr">
        <is>
          <t>ESPECIAL</t>
        </is>
      </c>
      <c r="E47" s="63" t="inlineStr">
        <is>
          <t>Baja</t>
        </is>
      </c>
      <c r="F47" s="60" t="inlineStr">
        <is>
          <t>El enlace de pago fue validado correctamente por el sistema Memphis y se muestra el Paso 1 - Contacto</t>
        </is>
      </c>
      <c r="G47" s="60" t="inlineStr">
        <is>
          <t>N/A</t>
        </is>
      </c>
      <c r="H47" s="60" t="inlineStr">
        <is>
          <t>1. Copiar el texto ' contribuyente@correo.com ' con espacios de otra parte
2. Pegarlo en el campo de correo
3. Dar clic en 'Continuar'</t>
        </is>
      </c>
      <c r="I47" s="60" t="inlineStr">
        <is>
          <t>Correo con espacios extra</t>
        </is>
      </c>
      <c r="J47" s="60" t="inlineStr">
        <is>
          <t>El sistema quita los espacios automaticamente y valida bien el correo, o avisa el error de forma clara</t>
        </is>
      </c>
      <c r="K47" s="60" t="n"/>
      <c r="L47" s="60" t="inlineStr">
        <is>
          <t>Pendiente</t>
        </is>
      </c>
      <c r="M47" s="60" t="n"/>
    </row>
    <row r="48" ht="75" customHeight="1" s="32">
      <c r="A48" s="65" t="inlineStr">
        <is>
          <t>TC-BP-047</t>
        </is>
      </c>
      <c r="B48" s="65" t="inlineStr">
        <is>
          <t>09. Compatibilidad y Accesibilidad</t>
        </is>
      </c>
      <c r="C48" s="65" t="inlineStr">
        <is>
          <t>Completar el flujo de pago en distintos navegadores (Chrome, Edge, Safari)</t>
        </is>
      </c>
      <c r="D48" s="66" t="inlineStr">
        <is>
          <t>EXITO</t>
        </is>
      </c>
      <c r="E48" s="67" t="inlineStr">
        <is>
          <t>Media</t>
        </is>
      </c>
      <c r="F48" s="65" t="inlineStr">
        <is>
          <t>El Gobierno de Puebla genero y envio el enlace de pago al contribuyente (correo/SMS); el enlace aun no ha sido usado</t>
        </is>
      </c>
      <c r="G48" s="65" t="inlineStr">
        <is>
          <t>N/A</t>
        </is>
      </c>
      <c r="H48" s="65" t="inlineStr">
        <is>
          <t>1. Repetir el flujo completo de pago en cada navegador</t>
        </is>
      </c>
      <c r="I48" s="65" t="inlineStr">
        <is>
          <t>Chrome / Edge / Safari</t>
        </is>
      </c>
      <c r="J48" s="65" t="inlineStr">
        <is>
          <t>El flujo se ve y funciona igual de bien en los tres navegadores, sin errores visuales ni de funcionamiento</t>
        </is>
      </c>
      <c r="K48" s="65" t="n"/>
      <c r="L48" s="65" t="inlineStr">
        <is>
          <t>Pendiente</t>
        </is>
      </c>
      <c r="M48" s="65" t="n"/>
    </row>
    <row r="49" ht="75" customHeight="1" s="32">
      <c r="A49" s="65" t="inlineStr">
        <is>
          <t>TC-BP-048</t>
        </is>
      </c>
      <c r="B49" s="65" t="inlineStr">
        <is>
          <t>09. Compatibilidad y Accesibilidad</t>
        </is>
      </c>
      <c r="C49" s="65" t="inlineStr">
        <is>
          <t>Completar el flujo de pago desde un celular</t>
        </is>
      </c>
      <c r="D49" s="66" t="inlineStr">
        <is>
          <t>EXITO</t>
        </is>
      </c>
      <c r="E49" s="56" t="inlineStr">
        <is>
          <t>Alta</t>
        </is>
      </c>
      <c r="F49" s="65" t="inlineStr">
        <is>
          <t>El Gobierno de Puebla genero y envio el enlace de pago al contribuyente (correo/SMS); el enlace aun no ha sido usado</t>
        </is>
      </c>
      <c r="G49" s="65" t="inlineStr">
        <is>
          <t>N/A</t>
        </is>
      </c>
      <c r="H49" s="65" t="inlineStr">
        <is>
          <t>1. Abrir el enlace de pago desde un celular
2. Completar el flujo completo</t>
        </is>
      </c>
      <c r="I49" s="65" t="inlineStr">
        <is>
          <t>Celular Android / iPhone</t>
        </is>
      </c>
      <c r="J49" s="65" t="inlineStr">
        <is>
          <t>La pagina se ve bien y es facil de usar en pantalla de celular; el flujo se completa sin problemas</t>
        </is>
      </c>
      <c r="K49" s="65" t="n"/>
      <c r="L49" s="65" t="inlineStr">
        <is>
          <t>Pendiente</t>
        </is>
      </c>
      <c r="M49" s="65" t="n"/>
    </row>
    <row r="50" ht="75" customHeight="1" s="32">
      <c r="A50" s="65" t="inlineStr">
        <is>
          <t>TC-BP-049</t>
        </is>
      </c>
      <c r="B50" s="65" t="inlineStr">
        <is>
          <t>09. Compatibilidad y Accesibilidad</t>
        </is>
      </c>
      <c r="C50" s="65" t="inlineStr">
        <is>
          <t>Verificar que los textos y botones sean legibles y faciles de entender para una persona sin experiencia con tecnologia</t>
        </is>
      </c>
      <c r="D50" s="66" t="inlineStr">
        <is>
          <t>EXITO</t>
        </is>
      </c>
      <c r="E50" s="67" t="inlineStr">
        <is>
          <t>Media</t>
        </is>
      </c>
      <c r="F50" s="65" t="inlineStr">
        <is>
          <t>El Gobierno de Puebla genero y envio el enlace de pago al contribuyente (correo/SMS); el enlace aun no ha sido usado</t>
        </is>
      </c>
      <c r="G50" s="65" t="inlineStr">
        <is>
          <t>N/A</t>
        </is>
      </c>
      <c r="H50" s="65" t="inlineStr">
        <is>
          <t>1. Revisar cada pantalla del flujo desde el punto de vista de un usuario sin experiencia
2. Verificar tamano de letra, claridad de mensajes y botones</t>
        </is>
      </c>
      <c r="I50" s="65" t="inlineStr">
        <is>
          <t>N/A</t>
        </is>
      </c>
      <c r="J50" s="65" t="inlineStr">
        <is>
          <t>Los textos son claros, sin tecnicismos; los botones son grandes y faciles de identificar</t>
        </is>
      </c>
      <c r="K50" s="65" t="n"/>
      <c r="L50" s="65" t="inlineStr">
        <is>
          <t>Pendiente</t>
        </is>
      </c>
      <c r="M50" s="65" t="n"/>
    </row>
    <row r="51" ht="75" customHeight="1" s="32">
      <c r="A51" s="65" t="inlineStr">
        <is>
          <t>TC-BP-050</t>
        </is>
      </c>
      <c r="B51" s="65" t="inlineStr">
        <is>
          <t>00. Happy Path - Flujo completo de pago</t>
        </is>
      </c>
      <c r="C51" s="65" t="inlineStr">
        <is>
          <t>Happy path: completar el pago de principio a fin con datos validos</t>
        </is>
      </c>
      <c r="D51" s="66" t="inlineStr">
        <is>
          <t>EXITO</t>
        </is>
      </c>
      <c r="E51" s="67" t="inlineStr">
        <is>
          <t>Alta</t>
        </is>
      </c>
      <c r="F51" s="65" t="inlineStr">
        <is>
          <t>Enlace de pago valido y sin pagar; tarjeta de prueba aprobada</t>
        </is>
      </c>
      <c r="G51" s="65" t="inlineStr">
        <is>
          <t>Depende de la tarjeta de prueba</t>
        </is>
      </c>
      <c r="H51" s="65" t="inlineStr">
        <is>
          <t>1. Abrir el enlace de pago
2. Paso 1: capturar telefono y correo validos y dar 'Continuar'
3. Paso 2: capturar calle, codigo postal, ciudad, pais y estado y dar 'Continuar'
4. Paso 3: capturar nombre, apellido, tarjeta, vencimiento y CVV y dar 'Continuar'
5. Paso 4: revisar la informacion y dar 'Continuar'
6. Completar 3D Secure si el banco lo solicita</t>
        </is>
      </c>
      <c r="I51" s="65" t="inlineStr">
        <is>
          <t>Tel: 5540076333 / Correo: santiago.tapia@memphis.mx / Calle: Reforma 245 / CP: 16200 / Ciudad: Cholula / Mexico / Puebla / Juan Hernandez / Tarjeta QA (archivo local)</t>
        </is>
      </c>
      <c r="J51" s="65" t="inlineStr">
        <is>
          <t>Se muestra 'Transaccion aprobada' con Estado, Codigo de respuesta 00, Referencia, Autorizacion e Identificador, y el contador de redireccion</t>
        </is>
      </c>
      <c r="K51" s="65" t="n"/>
      <c r="L51" s="65" t="inlineStr">
        <is>
          <t>Pendiente</t>
        </is>
      </c>
      <c r="M51" s="65" t="inlineStr">
        <is>
          <t>[Act. 29/09/2026] Caso nuevo. Caso base automatizado; cada paso deja captura en la evidencia</t>
        </is>
      </c>
    </row>
    <row r="52" ht="75" customHeight="1" s="32">
      <c r="A52" s="65" t="inlineStr">
        <is>
          <t>TC-BP-051</t>
        </is>
      </c>
      <c r="B52" s="65" t="inlineStr">
        <is>
          <t>01. Acceso al Enlace de Pago (inicio del alcance QA - pagina Memphis)</t>
        </is>
      </c>
      <c r="C52" s="65" t="inlineStr">
        <is>
          <t>Verificar la informacion del encabezado del pago</t>
        </is>
      </c>
      <c r="D52" s="66" t="inlineStr">
        <is>
          <t>EXITO</t>
        </is>
      </c>
      <c r="E52" s="67" t="inlineStr">
        <is>
          <t>Alta</t>
        </is>
      </c>
      <c r="F52" s="65" t="inlineStr">
        <is>
          <t>El enlace de pago fue validado correctamente por el sistema Memphis y se muestra el Paso 1 - Contacto</t>
        </is>
      </c>
      <c r="G52" s="65" t="inlineStr">
        <is>
          <t>N/A</t>
        </is>
      </c>
      <c r="H52" s="65" t="inlineStr">
        <is>
          <t>1. Abrir el enlace de pago
2. Revisar importe, concepto, fecha, solicitante, descripcion y referencia</t>
        </is>
      </c>
      <c r="I52" s="65" t="inlineStr">
        <is>
          <t>Enlace de pago valido</t>
        </is>
      </c>
      <c r="J52" s="65" t="inlineStr">
        <is>
          <t>El encabezado muestra importe, concepto, fecha, solicitante, descripcion y referencia correctos y sin campos vacios</t>
        </is>
      </c>
      <c r="K52" s="65" t="n"/>
      <c r="L52" s="65" t="inlineStr">
        <is>
          <t>Pendiente</t>
        </is>
      </c>
      <c r="M52" s="65" t="inlineStr">
        <is>
          <t>[Act. 29/09/2026] Caso nuevo. Observado: 'Solicitante' aparece vacio y el concepto dice 'Pago en Linea' aunque la descripcion es PREDIAL</t>
        </is>
      </c>
    </row>
    <row r="53" ht="75" customHeight="1" s="32">
      <c r="A53" s="65" t="inlineStr">
        <is>
          <t>TC-BP-052</t>
        </is>
      </c>
      <c r="B53" s="65" t="inlineStr">
        <is>
          <t>02. Paso 1 - Datos de Contacto</t>
        </is>
      </c>
      <c r="C53" s="65" t="inlineStr">
        <is>
          <t>Continuar sin telefono (campo opcional) con un correo valido</t>
        </is>
      </c>
      <c r="D53" s="66" t="inlineStr">
        <is>
          <t>EXITO</t>
        </is>
      </c>
      <c r="E53" s="67" t="inlineStr">
        <is>
          <t>Alta</t>
        </is>
      </c>
      <c r="F53" s="65" t="inlineStr">
        <is>
          <t>El enlace de pago fue validado correctamente por el sistema Memphis y se muestra el Paso 1 - Contacto</t>
        </is>
      </c>
      <c r="G53" s="65" t="inlineStr">
        <is>
          <t>N/A</t>
        </is>
      </c>
      <c r="H53" s="65" t="inlineStr">
        <is>
          <t>1. Dejar el telefono vacio
2. Capturar un correo valido
3. Dar clic en 'Continuar'</t>
        </is>
      </c>
      <c r="I53" s="65" t="inlineStr">
        <is>
          <t>Correo: santiago.tapia@memphis.mx</t>
        </is>
      </c>
      <c r="J53" s="65" t="inlineStr">
        <is>
          <t>El sistema avanza al Paso 2 - Direccion (el telefono no es obligatorio)</t>
        </is>
      </c>
      <c r="K53" s="65" t="n"/>
      <c r="L53" s="65" t="inlineStr">
        <is>
          <t>Pendiente</t>
        </is>
      </c>
      <c r="M53" s="65" t="inlineStr">
        <is>
          <t>[Act. 29/09/2026] Caso nuevo</t>
        </is>
      </c>
    </row>
    <row r="54" ht="75" customHeight="1" s="32">
      <c r="A54" s="65" t="inlineStr">
        <is>
          <t>TC-BP-053</t>
        </is>
      </c>
      <c r="B54" s="65" t="inlineStr">
        <is>
          <t>02. Paso 1 - Datos de Contacto</t>
        </is>
      </c>
      <c r="C54" s="65" t="inlineStr">
        <is>
          <t>Rechazar distintos formatos de correo invalido</t>
        </is>
      </c>
      <c r="D54" s="66" t="inlineStr">
        <is>
          <t>ERROR</t>
        </is>
      </c>
      <c r="E54" s="67" t="inlineStr">
        <is>
          <t>Alta</t>
        </is>
      </c>
      <c r="F54" s="65" t="inlineStr">
        <is>
          <t>El enlace de pago fue validado correctamente por el sistema Memphis y se muestra el Paso 1 - Contacto</t>
        </is>
      </c>
      <c r="G54" s="65" t="inlineStr">
        <is>
          <t>N/A</t>
        </is>
      </c>
      <c r="H54" s="65" t="inlineStr">
        <is>
          <t>1. Capturar cada correo invalido de la lista
2. Dar clic en 'Continuar' con cada uno</t>
        </is>
      </c>
      <c r="I54" s="65" t="inlineStr">
        <is>
          <t>sin arroba / sin dominio / sin extension / doble punto / espacio interno / sin usuario / extension de 1 letra</t>
        </is>
      </c>
      <c r="J54" s="65" t="inlineStr">
        <is>
          <t>Para cada correo se muestra 'El campo email debe tener un formato de correo.' y no se avanza</t>
        </is>
      </c>
      <c r="K54" s="65" t="n"/>
      <c r="L54" s="65" t="inlineStr">
        <is>
          <t>Pendiente</t>
        </is>
      </c>
      <c r="M54" s="65" t="inlineStr">
        <is>
          <t>[Act. 29/09/2026] Caso nuevo. Reportado por QA: se estan aceptando correos con cualquier formato</t>
        </is>
      </c>
    </row>
    <row r="55" ht="75" customHeight="1" s="32">
      <c r="A55" s="65" t="inlineStr">
        <is>
          <t>TC-BP-054</t>
        </is>
      </c>
      <c r="B55" s="65" t="inlineStr">
        <is>
          <t>02. Paso 1 - Datos de Contacto</t>
        </is>
      </c>
      <c r="C55" s="65" t="inlineStr">
        <is>
          <t>Capturar un telefono con mas de 13 digitos</t>
        </is>
      </c>
      <c r="D55" s="66" t="inlineStr">
        <is>
          <t>ERROR</t>
        </is>
      </c>
      <c r="E55" s="67" t="inlineStr">
        <is>
          <t>Baja</t>
        </is>
      </c>
      <c r="F55" s="65" t="inlineStr">
        <is>
          <t>El enlace de pago fue validado correctamente por el sistema Memphis y se muestra el Paso 1 - Contacto</t>
        </is>
      </c>
      <c r="G55" s="65" t="inlineStr">
        <is>
          <t>N/A</t>
        </is>
      </c>
      <c r="H55" s="65" t="inlineStr">
        <is>
          <t>1. Escribir un telefono de 14 digitos
2. Dar clic en 'Continuar'</t>
        </is>
      </c>
      <c r="I55" s="65" t="inlineStr">
        <is>
          <t>Telefono: 55400763331234</t>
        </is>
      </c>
      <c r="J55" s="65" t="inlineStr">
        <is>
          <t>El campo no permite capturar mas digitos de los permitidos; si los acepta, no avanza y el mensaje indica el maximo</t>
        </is>
      </c>
      <c r="K55" s="65" t="n"/>
      <c r="L55" s="65" t="inlineStr">
        <is>
          <t>Pendiente</t>
        </is>
      </c>
      <c r="M55" s="65" t="inlineStr">
        <is>
          <t>[Act. 29/09/2026] Caso nuevo. El mensaje actual dice 'debe tener minimo 10 digitos', que no aplica cuando sobran digitos</t>
        </is>
      </c>
    </row>
    <row r="56" ht="75" customHeight="1" s="32">
      <c r="A56" s="65" t="inlineStr">
        <is>
          <t>TC-BP-055</t>
        </is>
      </c>
      <c r="B56" s="65" t="inlineStr">
        <is>
          <t>02. Paso 1 - Datos de Contacto</t>
        </is>
      </c>
      <c r="C56" s="65" t="inlineStr">
        <is>
          <t>Capturar un telefono solo con letras</t>
        </is>
      </c>
      <c r="D56" s="66" t="inlineStr">
        <is>
          <t>ERROR</t>
        </is>
      </c>
      <c r="E56" s="67" t="inlineStr">
        <is>
          <t>Media</t>
        </is>
      </c>
      <c r="F56" s="65" t="inlineStr">
        <is>
          <t>El enlace de pago fue validado correctamente por el sistema Memphis y se muestra el Paso 1 - Contacto</t>
        </is>
      </c>
      <c r="G56" s="65" t="inlineStr">
        <is>
          <t>N/A</t>
        </is>
      </c>
      <c r="H56" s="65" t="inlineStr">
        <is>
          <t>1. Escribir 'abcdefghij' en el telefono
2. Capturar correo valido
3. Dar clic en 'Continuar'</t>
        </is>
      </c>
      <c r="I56" s="65" t="inlineStr">
        <is>
          <t>Telefono: abcdefghij</t>
        </is>
      </c>
      <c r="J56" s="65" t="inlineStr">
        <is>
          <t>El campo rechaza las letras o muestra un mensaje de telefono invalido</t>
        </is>
      </c>
      <c r="K56" s="65" t="n"/>
      <c r="L56" s="65" t="inlineStr">
        <is>
          <t>Pendiente</t>
        </is>
      </c>
      <c r="M56" s="65" t="inlineStr">
        <is>
          <t>[Act. 29/09/2026] Caso nuevo. Riesgo: al quitar las letras el campo queda vacio y la validacion lo toma como 'sin telefono'</t>
        </is>
      </c>
    </row>
    <row r="57" ht="75" customHeight="1" s="32">
      <c r="A57" s="65" t="inlineStr">
        <is>
          <t>TC-BP-056</t>
        </is>
      </c>
      <c r="B57" s="65" t="inlineStr">
        <is>
          <t>03. Paso 2 - Direccion</t>
        </is>
      </c>
      <c r="C57" s="65" t="inlineStr">
        <is>
          <t>Continuar sin seleccionar el Estado</t>
        </is>
      </c>
      <c r="D57" s="66" t="inlineStr">
        <is>
          <t>ERROR</t>
        </is>
      </c>
      <c r="E57" s="67" t="inlineStr">
        <is>
          <t>Alta</t>
        </is>
      </c>
      <c r="F57" s="65" t="inlineStr">
        <is>
          <t>El Paso 1 - Contacto fue completado y confirmado correctamente</t>
        </is>
      </c>
      <c r="G57" s="65" t="inlineStr">
        <is>
          <t>N/A</t>
        </is>
      </c>
      <c r="H57" s="65" t="inlineStr">
        <is>
          <t>1. Capturar calle, codigo postal y ciudad validos
2. Dejar 'Selecciona una opcion' en Estado
3. Dar clic en 'Continuar'</t>
        </is>
      </c>
      <c r="I57" s="65" t="inlineStr">
        <is>
          <t>Estado sin seleccionar</t>
        </is>
      </c>
      <c r="J57" s="65" t="inlineStr">
        <is>
          <t>El sistema no avanza y muestra 'Este campo es requerido' en Estado</t>
        </is>
      </c>
      <c r="K57" s="65" t="n"/>
      <c r="L57" s="65" t="inlineStr">
        <is>
          <t>Pendiente</t>
        </is>
      </c>
      <c r="M57" s="65" t="inlineStr">
        <is>
          <t>[Act. 29/09/2026] Caso nuevo
[Act. 29/09/2026] Observado: el Estado usa la validacion nativa del navegador ('Please select an item in the list.', en ingles) y bloquea los mensajes de la pagina</t>
        </is>
      </c>
    </row>
    <row r="58" ht="75" customHeight="1" s="32">
      <c r="A58" s="65" t="inlineStr">
        <is>
          <t>TC-BP-057</t>
        </is>
      </c>
      <c r="B58" s="65" t="inlineStr">
        <is>
          <t>03. Paso 2 - Direccion</t>
        </is>
      </c>
      <c r="C58" s="65" t="inlineStr">
        <is>
          <t>Capturar calle y ciudad con acentos y simbolos comunes</t>
        </is>
      </c>
      <c r="D58" s="66" t="inlineStr">
        <is>
          <t>ESPECIAL</t>
        </is>
      </c>
      <c r="E58" s="67" t="inlineStr">
        <is>
          <t>Media</t>
        </is>
      </c>
      <c r="F58" s="65" t="inlineStr">
        <is>
          <t>El Paso 1 - Contacto fue completado y confirmado correctamente</t>
        </is>
      </c>
      <c r="G58" s="65" t="inlineStr">
        <is>
          <t>N/A</t>
        </is>
      </c>
      <c r="H58" s="65" t="inlineStr">
        <is>
          <t>1. Escribir 'Av. Juarez #12' (con acento) en Calle
2. Escribir 'Tehuacan' (con acento) en Ciudad
3. Revisar lo que quedo escrito y el resumen del Paso 4</t>
        </is>
      </c>
      <c r="I58" s="65" t="inlineStr">
        <is>
          <t>Calle: Av. Juárez #12 / Ciudad: Tehuacán</t>
        </is>
      </c>
      <c r="J58" s="65" t="inlineStr">
        <is>
          <t>El sistema acepta el dato o avisa claramente; nunca modifica en silencio lo que escribio el usuario</t>
        </is>
      </c>
      <c r="K58" s="65" t="n"/>
      <c r="L58" s="65" t="inlineStr">
        <is>
          <t>Pendiente</t>
        </is>
      </c>
      <c r="M58" s="65" t="inlineStr">
        <is>
          <t>[Act. 29/09/2026] Caso nuevo. Los campos solo permiten letras sin acento, numeros y espacios: se borran acentos, '#', '.' y ','</t>
        </is>
      </c>
    </row>
    <row r="59" ht="75" customHeight="1" s="32">
      <c r="A59" s="65" t="inlineStr">
        <is>
          <t>TC-BP-058</t>
        </is>
      </c>
      <c r="B59" s="65" t="inlineStr">
        <is>
          <t>03. Paso 2 - Direccion</t>
        </is>
      </c>
      <c r="C59" s="65" t="inlineStr">
        <is>
          <t>Cambiar el pais y verificar que se reinicie el Estado</t>
        </is>
      </c>
      <c r="D59" s="66" t="inlineStr">
        <is>
          <t>ESPECIAL</t>
        </is>
      </c>
      <c r="E59" s="67" t="inlineStr">
        <is>
          <t>Baja</t>
        </is>
      </c>
      <c r="F59" s="65" t="inlineStr">
        <is>
          <t>El Paso 1 - Contacto fue completado y confirmado correctamente</t>
        </is>
      </c>
      <c r="G59" s="65" t="inlineStr">
        <is>
          <t>N/A</t>
        </is>
      </c>
      <c r="H59" s="65" t="inlineStr">
        <is>
          <t>1. Seleccionar Mexico y Puebla
2. Cambiar el pais
3. Revisar el campo Estado</t>
        </is>
      </c>
      <c r="I59" s="65" t="inlineStr">
        <is>
          <t>Pais distinto a Mexico</t>
        </is>
      </c>
      <c r="J59" s="65" t="inlineStr">
        <is>
          <t>El Estado se limpia y la lista corresponde al nuevo pais</t>
        </is>
      </c>
      <c r="K59" s="65" t="n"/>
      <c r="L59" s="65" t="inlineStr">
        <is>
          <t>Pendiente</t>
        </is>
      </c>
      <c r="M59" s="65" t="inlineStr">
        <is>
          <t>[Act. 29/09/2026] Caso nuevo</t>
        </is>
      </c>
    </row>
    <row r="60" ht="75" customHeight="1" s="32">
      <c r="A60" s="65" t="inlineStr">
        <is>
          <t>TC-BP-059</t>
        </is>
      </c>
      <c r="B60" s="65" t="inlineStr">
        <is>
          <t>04. Paso 3 - Datos de Tarjeta</t>
        </is>
      </c>
      <c r="C60" s="65" t="inlineStr">
        <is>
          <t>Capturar nombre y apellido compuestos (con espacio)</t>
        </is>
      </c>
      <c r="D60" s="66" t="inlineStr">
        <is>
          <t>ESPECIAL</t>
        </is>
      </c>
      <c r="E60" s="67" t="inlineStr">
        <is>
          <t>Alta</t>
        </is>
      </c>
      <c r="F60" s="65" t="inlineStr">
        <is>
          <t>Los Pasos 1 (Contacto) y 2 (Direccion) fueron completados y confirmados correctamente</t>
        </is>
      </c>
      <c r="G60" s="65" t="inlineStr">
        <is>
          <t>N/A</t>
        </is>
      </c>
      <c r="H60" s="65" t="inlineStr">
        <is>
          <t>1. Escribir 'Juan Carlos' en Nombre
2. Escribir 'Perez Lopez' (con acentos, igual al ejemplo del campo) en Apellido
3. Completar el resto con datos validos y dar 'Continuar'</t>
        </is>
      </c>
      <c r="I60" s="65" t="inlineStr">
        <is>
          <t>Nombre: Juan Carlos / Apellido: Pérez López</t>
        </is>
      </c>
      <c r="J60" s="65" t="inlineStr">
        <is>
          <t>El sistema acepta nombres y apellidos compuestos, como el ejemplo que muestra el propio campo</t>
        </is>
      </c>
      <c r="K60" s="65" t="n"/>
      <c r="L60" s="65" t="inlineStr">
        <is>
          <t>Pendiente</t>
        </is>
      </c>
      <c r="M60" s="65" t="inlineStr">
        <is>
          <t>[Act. 29/09/2026] Caso nuevo. La validacion actual no permite espacios: el propio ejemplo 'Perez Lopez' marca error</t>
        </is>
      </c>
    </row>
    <row r="61" ht="75" customHeight="1" s="32">
      <c r="A61" s="65" t="inlineStr">
        <is>
          <t>TC-BP-060</t>
        </is>
      </c>
      <c r="B61" s="65" t="inlineStr">
        <is>
          <t>04. Paso 3 - Datos de Tarjeta</t>
        </is>
      </c>
      <c r="C61" s="65" t="inlineStr">
        <is>
          <t>Capturar numeros o simbolos en nombre y apellido</t>
        </is>
      </c>
      <c r="D61" s="66" t="inlineStr">
        <is>
          <t>ERROR</t>
        </is>
      </c>
      <c r="E61" s="67" t="inlineStr">
        <is>
          <t>Media</t>
        </is>
      </c>
      <c r="F61" s="65" t="inlineStr">
        <is>
          <t>Los Pasos 1 (Contacto) y 2 (Direccion) fueron completados y confirmados correctamente</t>
        </is>
      </c>
      <c r="G61" s="65" t="inlineStr">
        <is>
          <t>N/A</t>
        </is>
      </c>
      <c r="H61" s="65" t="inlineStr">
        <is>
          <t>1. Escribir 'Juan2' en Nombre
2. Revisar el valor que queda y el mensaje</t>
        </is>
      </c>
      <c r="I61" s="65" t="inlineStr">
        <is>
          <t>Nombre: Juan2</t>
        </is>
      </c>
      <c r="J61" s="65" t="inlineStr">
        <is>
          <t>El campo no acepta numeros ni simbolos (los quita o muestra 'Solo se permiten letras con acentos')</t>
        </is>
      </c>
      <c r="K61" s="65" t="n"/>
      <c r="L61" s="65" t="inlineStr">
        <is>
          <t>Pendiente</t>
        </is>
      </c>
      <c r="M61" s="65" t="inlineStr">
        <is>
          <t>[Act. 29/09/2026] Caso nuevo</t>
        </is>
      </c>
    </row>
    <row r="62" ht="75" customHeight="1" s="32">
      <c r="A62" s="65" t="inlineStr">
        <is>
          <t>TC-BP-061</t>
        </is>
      </c>
      <c r="B62" s="65" t="inlineStr">
        <is>
          <t>04. Paso 3 - Datos de Tarjeta</t>
        </is>
      </c>
      <c r="C62" s="65" t="inlineStr">
        <is>
          <t>Capturar un numero de tarjeta con menos de 15 digitos</t>
        </is>
      </c>
      <c r="D62" s="66" t="inlineStr">
        <is>
          <t>ERROR</t>
        </is>
      </c>
      <c r="E62" s="67" t="inlineStr">
        <is>
          <t>Alta</t>
        </is>
      </c>
      <c r="F62" s="65" t="inlineStr">
        <is>
          <t>Los Pasos 1 (Contacto) y 2 (Direccion) fueron completados y confirmados correctamente</t>
        </is>
      </c>
      <c r="G62" s="65" t="inlineStr">
        <is>
          <t>No aplica - el pago no llega a procesarse</t>
        </is>
      </c>
      <c r="H62" s="65" t="inlineStr">
        <is>
          <t>1. Escribir 12 digitos en Numero de Tarjeta
2. Dar clic en 'Continuar'</t>
        </is>
      </c>
      <c r="I62" s="65" t="inlineStr">
        <is>
          <t>Tarjeta: 411111111111</t>
        </is>
      </c>
      <c r="J62" s="65" t="inlineStr">
        <is>
          <t>Se muestra 'La tarjeta debe tener 15 o 16 digitos' y no se avanza</t>
        </is>
      </c>
      <c r="K62" s="65" t="n"/>
      <c r="L62" s="65" t="inlineStr">
        <is>
          <t>Pendiente</t>
        </is>
      </c>
      <c r="M62" s="65" t="inlineStr">
        <is>
          <t>[Act. 29/09/2026] Caso nuevo</t>
        </is>
      </c>
    </row>
    <row r="63" ht="75" customHeight="1" s="32">
      <c r="A63" s="65" t="inlineStr">
        <is>
          <t>TC-BP-062</t>
        </is>
      </c>
      <c r="B63" s="65" t="inlineStr">
        <is>
          <t>04. Paso 3 - Datos de Tarjeta</t>
        </is>
      </c>
      <c r="C63" s="65" t="inlineStr">
        <is>
          <t>Capturar un vencimiento con mes invalido o incompleto</t>
        </is>
      </c>
      <c r="D63" s="66" t="inlineStr">
        <is>
          <t>ERROR</t>
        </is>
      </c>
      <c r="E63" s="67" t="inlineStr">
        <is>
          <t>Media</t>
        </is>
      </c>
      <c r="F63" s="65" t="inlineStr">
        <is>
          <t>Los Pasos 1 (Contacto) y 2 (Direccion) fueron completados y confirmados correctamente</t>
        </is>
      </c>
      <c r="G63" s="65" t="inlineStr">
        <is>
          <t>No aplica - el pago no llega a procesarse</t>
        </is>
      </c>
      <c r="H63" s="65" t="inlineStr">
        <is>
          <t>1. Escribir '13/29' en Vencimiento y dar 'Continuar'
2. Escribir '05/2' y dar 'Continuar'</t>
        </is>
      </c>
      <c r="I63" s="65" t="inlineStr">
        <is>
          <t>Vencimiento: 13/29 y 05/2</t>
        </is>
      </c>
      <c r="J63" s="65" t="inlineStr">
        <is>
          <t>Se muestra 'Fecha de vencimiento invalida' para 13/29 y 'Debe tener 4 digitos' para 05/2</t>
        </is>
      </c>
      <c r="K63" s="65" t="n"/>
      <c r="L63" s="65" t="inlineStr">
        <is>
          <t>Pendiente</t>
        </is>
      </c>
      <c r="M63" s="65" t="inlineStr">
        <is>
          <t>[Act. 29/09/2026] Caso nuevo</t>
        </is>
      </c>
    </row>
    <row r="64" ht="75" customHeight="1" s="32">
      <c r="A64" s="65" t="inlineStr">
        <is>
          <t>TC-BP-063</t>
        </is>
      </c>
      <c r="B64" s="65" t="inlineStr">
        <is>
          <t>04. Paso 3 - Datos de Tarjeta</t>
        </is>
      </c>
      <c r="C64" s="65" t="inlineStr">
        <is>
          <t>Verificar que el CVV se oculte y acepte maximo 3 digitos</t>
        </is>
      </c>
      <c r="D64" s="66" t="inlineStr">
        <is>
          <t>EXITO</t>
        </is>
      </c>
      <c r="E64" s="67" t="inlineStr">
        <is>
          <t>Baja</t>
        </is>
      </c>
      <c r="F64" s="65" t="inlineStr">
        <is>
          <t>Los Pasos 1 (Contacto) y 2 (Direccion) fueron completados y confirmados correctamente</t>
        </is>
      </c>
      <c r="G64" s="65" t="inlineStr">
        <is>
          <t>N/A</t>
        </is>
      </c>
      <c r="H64" s="65" t="inlineStr">
        <is>
          <t>1. Escribir 4 digitos en CVV
2. Revisar como se muestra y cuantos digitos quedan</t>
        </is>
      </c>
      <c r="I64" s="65" t="inlineStr">
        <is>
          <t>CVV: 1234</t>
        </is>
      </c>
      <c r="J64" s="65" t="inlineStr">
        <is>
          <t>El CVV se muestra oculto (puntos) y solo conserva 3 digitos</t>
        </is>
      </c>
      <c r="K64" s="65" t="n"/>
      <c r="L64" s="65" t="inlineStr">
        <is>
          <t>Pendiente</t>
        </is>
      </c>
      <c r="M64" s="65" t="inlineStr">
        <is>
          <t>[Act. 29/09/2026] Caso nuevo. Nota: se aceptan tarjetas de 15 digitos (AMEX) pero el CVV solo permite 3; AMEX usa 4</t>
        </is>
      </c>
    </row>
    <row r="65" ht="75" customHeight="1" s="32">
      <c r="A65" s="65" t="inlineStr">
        <is>
          <t>TC-BP-064</t>
        </is>
      </c>
      <c r="B65" s="65" t="inlineStr">
        <is>
          <t>10. Paso 4 - Confirmacion antes de pagar</t>
        </is>
      </c>
      <c r="C65" s="65" t="inlineStr">
        <is>
          <t>Verificar el resumen de informacion antes de pagar</t>
        </is>
      </c>
      <c r="D65" s="66" t="inlineStr">
        <is>
          <t>EXITO</t>
        </is>
      </c>
      <c r="E65" s="67" t="inlineStr">
        <is>
          <t>Alta</t>
        </is>
      </c>
      <c r="F65" s="65" t="inlineStr">
        <is>
          <t>Los Pasos 1, 2 y 3 fueron completados; se muestra el Paso 4 - 'Revisa tu informacion antes de pagar'</t>
        </is>
      </c>
      <c r="G65" s="65" t="inlineStr">
        <is>
          <t>N/A</t>
        </is>
      </c>
      <c r="H65" s="65" t="inlineStr">
        <is>
          <t>1. Revisar cada renglon del resumen del Paso 4</t>
        </is>
      </c>
      <c r="I65" s="65" t="inlineStr">
        <is>
          <t>Datos del happy path</t>
        </is>
      </c>
      <c r="J65" s="65" t="inlineStr">
        <is>
          <t>El resumen muestra nombre completo, correo, telefono, direccion, ciudad y codigo postal iguales a lo capturado; pais y estado con su nombre (Mexico, Puebla); la tarjeta enmascarada (solo ultimos 4) y el vencimiento en formato MM/AA</t>
        </is>
      </c>
      <c r="K65" s="65" t="n"/>
      <c r="L65" s="65" t="inlineStr">
        <is>
          <t>Pendiente</t>
        </is>
      </c>
      <c r="M65" s="65" t="inlineStr">
        <is>
          <t>[Act. 29/09/2026] Caso nuevo
[Act. 29/09/2026] Observado: Pais y Estado se muestran como codigo ('MEX', 'PUE') en lugar del nombre; el vencimiento se muestra '1226' sin diagonal (se capturo 12/26)</t>
        </is>
      </c>
    </row>
    <row r="66" ht="75" customHeight="1" s="32">
      <c r="A66" s="65" t="inlineStr">
        <is>
          <t>TC-BP-065</t>
        </is>
      </c>
      <c r="B66" s="65" t="inlineStr">
        <is>
          <t>10. Paso 4 - Confirmacion antes de pagar</t>
        </is>
      </c>
      <c r="C66" s="65" t="inlineStr">
        <is>
          <t>Regresar desde el resumen y verificar que los datos se conserven</t>
        </is>
      </c>
      <c r="D66" s="66" t="inlineStr">
        <is>
          <t>ESPECIAL</t>
        </is>
      </c>
      <c r="E66" s="67" t="inlineStr">
        <is>
          <t>Media</t>
        </is>
      </c>
      <c r="F66" s="65" t="inlineStr">
        <is>
          <t>Los Pasos 1, 2 y 3 fueron completados; se muestra el Paso 4 - 'Revisa tu informacion antes de pagar'</t>
        </is>
      </c>
      <c r="G66" s="65" t="inlineStr">
        <is>
          <t>N/A</t>
        </is>
      </c>
      <c r="H66" s="65" t="inlineStr">
        <is>
          <t>1. En el Paso 4 dar clic en 'Regresar'
2. Revisar los datos de tarjeta
3. Regresar al Paso 2 y al Paso 1 y revisar sus datos</t>
        </is>
      </c>
      <c r="I66" s="65" t="inlineStr">
        <is>
          <t>N/A</t>
        </is>
      </c>
      <c r="J66" s="65" t="inlineStr">
        <is>
          <t>Los datos capturados en cada paso siguen ahi y se puede volver a avanzar al Paso 4</t>
        </is>
      </c>
      <c r="K66" s="65" t="n"/>
      <c r="L66" s="65" t="inlineStr">
        <is>
          <t>Pendiente</t>
        </is>
      </c>
      <c r="M66" s="65" t="inlineStr">
        <is>
          <t>[Act. 29/09/2026] Caso nuevo</t>
        </is>
      </c>
    </row>
    <row r="67" ht="75" customHeight="1" s="32">
      <c r="A67" s="65" t="inlineStr">
        <is>
          <t>TC-BP-066</t>
        </is>
      </c>
      <c r="B67" s="65" t="inlineStr">
        <is>
          <t>10. Paso 4 - Confirmacion antes de pagar</t>
        </is>
      </c>
      <c r="C67" s="65" t="inlineStr">
        <is>
          <t>Navegar entre pasos con los numeros del indicador superior</t>
        </is>
      </c>
      <c r="D67" s="66" t="inlineStr">
        <is>
          <t>ESPECIAL</t>
        </is>
      </c>
      <c r="E67" s="67" t="inlineStr">
        <is>
          <t>Baja</t>
        </is>
      </c>
      <c r="F67" s="65" t="inlineStr">
        <is>
          <t>Los Pasos 1, 2 y 3 fueron completados; se muestra el Paso 4 - 'Revisa tu informacion antes de pagar'</t>
        </is>
      </c>
      <c r="G67" s="65" t="inlineStr">
        <is>
          <t>N/A</t>
        </is>
      </c>
      <c r="H67" s="65" t="inlineStr">
        <is>
          <t>1. En el Paso 4 dar clic en el numero '1' del indicador
2. Revisar los datos
3. Avanzar de nuevo</t>
        </is>
      </c>
      <c r="I67" s="65" t="inlineStr">
        <is>
          <t>N/A</t>
        </is>
      </c>
      <c r="J67" s="65" t="inlineStr">
        <is>
          <t>La navegacion no pierde datos ni permite saltarse validaciones</t>
        </is>
      </c>
      <c r="K67" s="65" t="n"/>
      <c r="L67" s="65" t="inlineStr">
        <is>
          <t>Pendiente</t>
        </is>
      </c>
      <c r="M67" s="65" t="inlineStr">
        <is>
          <t>[Act. 29/09/2026] Caso nuevo
[Act. 29/09/2026] Observado: los numeros del indicador de pasos son solo informativos (no navegan aunque son botones). Confirmar con diseno si debe permitir navegar</t>
        </is>
      </c>
    </row>
    <row r="68" ht="75" customHeight="1" s="32">
      <c r="A68" s="65" t="inlineStr">
        <is>
          <t>TC-BP-067</t>
        </is>
      </c>
      <c r="B68" s="65" t="inlineStr">
        <is>
          <t>07. Resultado Fallido y Reintento</t>
        </is>
      </c>
      <c r="C68" s="65" t="inlineStr">
        <is>
          <t>Verificar el detalle y el aviso emergente de una transaccion rechazada</t>
        </is>
      </c>
      <c r="D68" s="66" t="inlineStr">
        <is>
          <t>ERROR</t>
        </is>
      </c>
      <c r="E68" s="67" t="inlineStr">
        <is>
          <t>Alta</t>
        </is>
      </c>
      <c r="F68" s="65" t="inlineStr">
        <is>
          <t>El pago fue enviado y el resultado fue 'Transaccion rechazada'</t>
        </is>
      </c>
      <c r="G68" s="65" t="inlineStr">
        <is>
          <t>Aplica igual con o sin 3D Secure</t>
        </is>
      </c>
      <c r="H68" s="65" t="inlineStr">
        <is>
          <t>1. Provocar un rechazo
2. Revisar el detalle de la pantalla y el aviso emergente</t>
        </is>
      </c>
      <c r="I68" s="65" t="inlineStr">
        <is>
          <t>Tarjeta de prueba rechazada</t>
        </is>
      </c>
      <c r="J68" s="65" t="inlineStr">
        <is>
          <t>Se muestran Estado, Codigo de respuesta, Referencia, Autorizacion e Identificador, y el aviso 'Ha ocurrido un error al procesar el pago.'</t>
        </is>
      </c>
      <c r="K68" s="65" t="n"/>
      <c r="L68" s="65" t="inlineStr">
        <is>
          <t>Pendiente</t>
        </is>
      </c>
      <c r="M68" s="65" t="inlineStr">
        <is>
          <t>[Act. 29/09/2026] Caso nuevo</t>
        </is>
      </c>
    </row>
    <row r="69" ht="75" customHeight="1" s="32">
      <c r="A69" s="65" t="inlineStr">
        <is>
          <t>TC-BP-068</t>
        </is>
      </c>
      <c r="B69" s="65" t="inlineStr">
        <is>
          <t>07. Resultado Fallido y Reintento</t>
        </is>
      </c>
      <c r="C69" s="65" t="inlineStr">
        <is>
          <t>Reintentar tras un rechazo por 3D Secure</t>
        </is>
      </c>
      <c r="D69" s="66" t="inlineStr">
        <is>
          <t>ERROR</t>
        </is>
      </c>
      <c r="E69" s="67" t="inlineStr">
        <is>
          <t>Alta</t>
        </is>
      </c>
      <c r="F69" s="65" t="inlineStr">
        <is>
          <t>El pago fue enviado y el resultado fue 'Transaccion rechazada'</t>
        </is>
      </c>
      <c r="G69" s="65" t="inlineStr">
        <is>
          <t>Si</t>
        </is>
      </c>
      <c r="H69" s="65" t="inlineStr">
        <is>
          <t>1. Obtener 'Rechazada por 3DS'
2. Dar clic en 'Reintentar'
3. Completar el flujo de nuevo</t>
        </is>
      </c>
      <c r="I69" s="65" t="inlineStr">
        <is>
          <t>Tarjeta QA</t>
        </is>
      </c>
      <c r="J69" s="65" t="inlineStr">
        <is>
          <t>El reintento procesa el pago normalmente; no aparece 'Invalid arguments to initiate request'</t>
        </is>
      </c>
      <c r="K69" s="65" t="n"/>
      <c r="L69" s="65" t="inlineStr">
        <is>
          <t>Pendiente</t>
        </is>
      </c>
      <c r="M69" s="65" t="inlineStr">
        <is>
          <t>[Act. 29/09/2026] Caso nuevo. Observado 29/09/2026: tras reintentar aparecio 'Invalid arguments to initiate request'</t>
        </is>
      </c>
    </row>
    <row r="70" ht="75" customHeight="1" s="32">
      <c r="A70" s="65" t="inlineStr">
        <is>
          <t>TC-BP-069</t>
        </is>
      </c>
      <c r="B70" s="65" t="inlineStr">
        <is>
          <t>07. Resultado Fallido y Reintento</t>
        </is>
      </c>
      <c r="C70" s="65" t="inlineStr">
        <is>
          <t>Verificar que los textos de la pantalla de rechazo sean claros y consistentes</t>
        </is>
      </c>
      <c r="D70" s="66" t="inlineStr">
        <is>
          <t>ESPECIAL</t>
        </is>
      </c>
      <c r="E70" s="67" t="inlineStr">
        <is>
          <t>Media</t>
        </is>
      </c>
      <c r="F70" s="65" t="inlineStr">
        <is>
          <t>El pago fue enviado y el resultado fue 'Transaccion rechazada'</t>
        </is>
      </c>
      <c r="G70" s="65" t="inlineStr">
        <is>
          <t>N/A</t>
        </is>
      </c>
      <c r="H70" s="65" t="inlineStr">
        <is>
          <t>1. Revisar el titulo, subtitulo y estado de la pantalla de rechazo</t>
        </is>
      </c>
      <c r="I70" s="65" t="inlineStr">
        <is>
          <t>N/A</t>
        </is>
      </c>
      <c r="J70" s="65" t="inlineStr">
        <is>
          <t>Los textos estan en espanol, son comprensibles y no se contradicen con el resultado</t>
        </is>
      </c>
      <c r="K70" s="65" t="n"/>
      <c r="L70" s="65" t="inlineStr">
        <is>
          <t>Pendiente</t>
        </is>
      </c>
      <c r="M70" s="65" t="inlineStr">
        <is>
          <t>[Act. 29/09/2026] Caso nuevo. Observado: 'Transaccion rechazada' con subtitulo 'Payment verificado.' / 'Payout realizado.' y estado 'Invalid arguments...' en ingles</t>
        </is>
      </c>
    </row>
  </sheetData>
  <autoFilter ref="A1:M70"/>
  <dataValidations count="1">
    <dataValidation sqref="L2:L270" showDropDown="0" showInputMessage="0" showErrorMessage="0" allowBlank="1" type="list" errorStyle="stop" operator="between">
      <formula1>"Pendiente,En Ejecucion,Aprobado,Fallido,Bloqueado,No Aplica"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2026-09-25T18:30:50Z</dcterms:created>
  <dcterms:modified xsi:type="dcterms:W3CDTF">2026-09-29T19:56:51Z</dcterms:modified>
  <cp:revision>1</cp:revision>
</cp:coreProperties>
</file>
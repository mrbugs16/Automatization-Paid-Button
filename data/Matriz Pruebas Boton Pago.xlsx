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Dashboard" sheetId="2" state="visible" r:id="rId2"/>
    <sheet name="Matriz de Pruebas" sheetId="3" state="visible" r:id="rId3"/>
    <sheet name="Tarjetas 3DS" sheetId="4" state="visible" r:id="rId4"/>
    <sheet name="Flujo Real" sheetId="5" state="visible" r:id="rId5"/>
    <sheet name="Formatos de Campos" sheetId="6" state="visible" r:id="rId6"/>
  </sheets>
  <definedNames>
    <definedName name="_xlnm._FilterDatabase" localSheetId="2" hidden="1">'Matriz de Pruebas'!$A$1:$N$102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i val="1"/>
      <color rgb="FF595959"/>
      <sz val="12"/>
    </font>
    <font>
      <name val="Arial"/>
      <charset val="1"/>
      <family val="0"/>
      <b val="1"/>
      <sz val="11"/>
    </font>
    <font>
      <name val="Arial"/>
      <charset val="1"/>
      <family val="0"/>
      <sz val="11"/>
    </font>
    <font>
      <name val="Arial"/>
      <charset val="1"/>
      <family val="0"/>
      <b val="1"/>
      <color rgb="FF1F3864"/>
      <sz val="13"/>
    </font>
    <font>
      <name val="Arial"/>
      <charset val="1"/>
      <family val="0"/>
      <b val="1"/>
      <color rgb="FFFFFFFF"/>
      <sz val="11"/>
    </font>
    <font>
      <name val="Arial"/>
      <charset val="1"/>
      <family val="0"/>
      <b val="1"/>
      <color rgb="FF1F3864"/>
      <sz val="16"/>
    </font>
    <font>
      <name val="Arial"/>
      <charset val="1"/>
      <family val="0"/>
      <i val="1"/>
      <color rgb="FF595959"/>
      <sz val="10"/>
    </font>
    <font>
      <name val="Calibri"/>
      <family val="2"/>
      <b val="1"/>
      <color rgb="FF000000"/>
      <sz val="18"/>
    </font>
    <font>
      <name val="Calibri"/>
      <family val="2"/>
      <color rgb="FF000000"/>
      <sz val="10"/>
    </font>
    <font>
      <name val="Arial"/>
      <charset val="1"/>
      <family val="0"/>
      <sz val="10"/>
    </font>
    <font>
      <name val="Arial"/>
      <charset val="1"/>
      <family val="0"/>
      <color rgb="FF1E7B34"/>
      <sz val="10"/>
    </font>
    <font>
      <name val="Arial"/>
      <charset val="1"/>
      <family val="0"/>
      <b val="1"/>
      <color rgb="FF9C0006"/>
      <sz val="10"/>
    </font>
    <font>
      <name val="Arial"/>
      <charset val="1"/>
      <family val="0"/>
      <b val="1"/>
      <color rgb="FFB45F06"/>
      <sz val="10"/>
    </font>
    <font>
      <name val="Arial"/>
      <b val="1"/>
      <sz val="14"/>
    </font>
    <font>
      <name val="Arial"/>
      <sz val="10"/>
    </font>
  </fonts>
  <fills count="16">
    <fill>
      <patternFill/>
    </fill>
    <fill>
      <patternFill patternType="gray125"/>
    </fill>
    <fill>
      <patternFill patternType="solid">
        <fgColor rgb="FFF4CCCC"/>
        <bgColor rgb="FFD9D9D9"/>
      </patternFill>
    </fill>
    <fill>
      <patternFill patternType="solid">
        <fgColor rgb="FFE2EFDA"/>
        <bgColor rgb="FFE4F5E1"/>
      </patternFill>
    </fill>
    <fill>
      <patternFill patternType="solid">
        <fgColor rgb="FF1F3864"/>
        <bgColor rgb="FF333333"/>
      </patternFill>
    </fill>
    <fill>
      <patternFill patternType="solid">
        <fgColor rgb="FFFCE4E4"/>
        <bgColor rgb="FFF2F2F2"/>
      </patternFill>
    </fill>
    <fill>
      <patternFill patternType="solid">
        <fgColor rgb="FFF2F2F2"/>
        <bgColor rgb="FFF2F6FC"/>
      </patternFill>
    </fill>
    <fill>
      <patternFill patternType="solid">
        <fgColor rgb="FFFFFFFF"/>
        <bgColor rgb="FFF2F6FC"/>
      </patternFill>
    </fill>
    <fill>
      <patternFill patternType="solid">
        <fgColor rgb="FFFFF6D8"/>
        <bgColor rgb="FFF2F2F2"/>
      </patternFill>
    </fill>
    <fill>
      <patternFill patternType="solid">
        <fgColor rgb="FFF2F6FC"/>
        <bgColor rgb="FFF2F2F2"/>
      </patternFill>
    </fill>
    <fill>
      <patternFill patternType="solid">
        <fgColor rgb="FFE4F5E1"/>
        <bgColor rgb="FFE2EFDA"/>
      </patternFill>
    </fill>
    <fill>
      <patternFill patternType="solid">
        <fgColor rgb="00C6EFCE"/>
        <bgColor rgb="00C6EFCE"/>
      </patternFill>
    </fill>
    <fill>
      <patternFill patternType="solid">
        <fgColor rgb="00FFEB9C"/>
        <bgColor rgb="00FFEB9C"/>
      </patternFill>
    </fill>
    <fill>
      <patternFill patternType="solid">
        <fgColor rgb="00DDEBF7"/>
        <bgColor rgb="00DDEBF7"/>
      </patternFill>
    </fill>
    <fill>
      <patternFill patternType="solid">
        <fgColor rgb="00FFF2CC"/>
        <bgColor rgb="00FFF2CC"/>
      </patternFill>
    </fill>
    <fill>
      <patternFill patternType="solid">
        <fgColor rgb="00FFC7CE"/>
        <bgColor rgb="00FFC7CE"/>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top" wrapText="1"/>
    </xf>
    <xf numFmtId="0" fontId="6" fillId="3" borderId="0" applyAlignment="1" pivotButton="0" quotePrefix="0" xfId="0">
      <alignment horizontal="general" vertical="bottom"/>
    </xf>
    <xf numFmtId="0" fontId="9" fillId="4" borderId="0" applyAlignment="1" pivotButton="0" quotePrefix="0" xfId="0">
      <alignment horizontal="center" vertical="bottom"/>
    </xf>
    <xf numFmtId="0" fontId="7" fillId="0" borderId="0" applyAlignment="1" pivotButton="0" quotePrefix="0" xfId="0">
      <alignment horizontal="center" vertical="bottom"/>
    </xf>
    <xf numFmtId="0" fontId="6" fillId="0" borderId="0" applyAlignment="1" pivotButton="0" quotePrefix="0" xfId="0">
      <alignment horizontal="center"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6" fillId="3" borderId="0" applyAlignment="1" pivotButton="0" quotePrefix="0" xfId="0">
      <alignment horizontal="center" vertical="bottom"/>
    </xf>
    <xf numFmtId="0" fontId="6" fillId="5" borderId="0" applyAlignment="1" pivotButton="0" quotePrefix="0" xfId="0">
      <alignment horizontal="center" vertical="bottom"/>
    </xf>
    <xf numFmtId="0" fontId="6" fillId="2" borderId="0" applyAlignment="1" pivotButton="0" quotePrefix="0" xfId="0">
      <alignment horizontal="center" vertical="bottom"/>
    </xf>
    <xf numFmtId="0" fontId="6" fillId="6" borderId="0" applyAlignment="1" pivotButton="0" quotePrefix="0" xfId="0">
      <alignment horizontal="center" vertical="bottom"/>
    </xf>
    <xf numFmtId="164" fontId="6" fillId="0" borderId="0" applyAlignment="1" pivotButton="0" quotePrefix="0" xfId="0">
      <alignment horizontal="center" vertical="bottom"/>
    </xf>
    <xf numFmtId="0" fontId="9" fillId="4" borderId="1" applyAlignment="1" pivotButton="0" quotePrefix="0" xfId="0">
      <alignment horizontal="center" vertical="center" wrapText="1"/>
    </xf>
    <xf numFmtId="0" fontId="14" fillId="7" borderId="1" applyAlignment="1" pivotButton="0" quotePrefix="0" xfId="0">
      <alignment horizontal="general" vertical="top" wrapText="1"/>
    </xf>
    <xf numFmtId="0" fontId="15" fillId="7" borderId="1" applyAlignment="1" pivotButton="0" quotePrefix="0" xfId="0">
      <alignment horizontal="general" vertical="top" wrapText="1"/>
    </xf>
    <xf numFmtId="0" fontId="14" fillId="5" borderId="1" applyAlignment="1" pivotButton="0" quotePrefix="0" xfId="0">
      <alignment horizontal="center" vertical="top"/>
    </xf>
    <xf numFmtId="0" fontId="16" fillId="7" borderId="1" applyAlignment="1" pivotButton="0" quotePrefix="0" xfId="0">
      <alignment horizontal="general" vertical="top" wrapText="1"/>
    </xf>
    <xf numFmtId="0" fontId="17" fillId="7" borderId="1" applyAlignment="1" pivotButton="0" quotePrefix="0" xfId="0">
      <alignment horizontal="general" vertical="top" wrapText="1"/>
    </xf>
    <xf numFmtId="0" fontId="14" fillId="8" borderId="1" applyAlignment="1" pivotButton="0" quotePrefix="0" xfId="0">
      <alignment horizontal="center" vertical="top"/>
    </xf>
    <xf numFmtId="0" fontId="14"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16" fillId="9" borderId="1" applyAlignment="1" pivotButton="0" quotePrefix="0" xfId="0">
      <alignment horizontal="general" vertical="top" wrapText="1"/>
    </xf>
    <xf numFmtId="0" fontId="14" fillId="10" borderId="1" applyAlignment="1" pivotButton="0" quotePrefix="0" xfId="0">
      <alignment horizontal="center" vertical="top"/>
    </xf>
    <xf numFmtId="0" fontId="17" fillId="9"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top" wrapText="1"/>
    </xf>
    <xf numFmtId="0" fontId="6" fillId="3" borderId="0" applyAlignment="1" pivotButton="0" quotePrefix="0" xfId="0">
      <alignment horizontal="general" vertical="bottom"/>
    </xf>
    <xf numFmtId="0" fontId="9" fillId="4" borderId="0" applyAlignment="1" pivotButton="0" quotePrefix="0" xfId="0">
      <alignment horizontal="center" vertical="bottom"/>
    </xf>
    <xf numFmtId="0" fontId="7" fillId="0" borderId="0" applyAlignment="1" pivotButton="0" quotePrefix="0" xfId="0">
      <alignment horizontal="general" vertical="bottom"/>
    </xf>
    <xf numFmtId="0" fontId="7" fillId="0" borderId="0" applyAlignment="1" pivotButton="0" quotePrefix="0" xfId="0">
      <alignment horizontal="center"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6" fillId="0" borderId="0" applyAlignment="1" pivotButton="0" quotePrefix="0" xfId="0">
      <alignment horizontal="center" vertical="bottom"/>
    </xf>
    <xf numFmtId="0" fontId="6" fillId="3" borderId="0" applyAlignment="1" pivotButton="0" quotePrefix="0" xfId="0">
      <alignment horizontal="center" vertical="bottom"/>
    </xf>
    <xf numFmtId="0" fontId="6" fillId="5" borderId="0" applyAlignment="1" pivotButton="0" quotePrefix="0" xfId="0">
      <alignment horizontal="center" vertical="bottom"/>
    </xf>
    <xf numFmtId="0" fontId="6" fillId="2" borderId="0" applyAlignment="1" pivotButton="0" quotePrefix="0" xfId="0">
      <alignment horizontal="center" vertical="bottom"/>
    </xf>
    <xf numFmtId="0" fontId="6" fillId="6" borderId="0" applyAlignment="1" pivotButton="0" quotePrefix="0" xfId="0">
      <alignment horizontal="center" vertical="bottom"/>
    </xf>
    <xf numFmtId="164" fontId="6" fillId="0" borderId="0" applyAlignment="1" pivotButton="0" quotePrefix="0" xfId="0">
      <alignment horizontal="center" vertical="bottom"/>
    </xf>
    <xf numFmtId="0" fontId="7" fillId="0" borderId="0" applyAlignment="1" pivotButton="0" quotePrefix="0" xfId="0">
      <alignment horizontal="center" vertical="bottom"/>
    </xf>
    <xf numFmtId="0" fontId="9" fillId="4" borderId="1" applyAlignment="1" pivotButton="0" quotePrefix="0" xfId="0">
      <alignment horizontal="center" vertical="center" wrapText="1"/>
    </xf>
    <xf numFmtId="0" fontId="14" fillId="7" borderId="1" applyAlignment="1" pivotButton="0" quotePrefix="0" xfId="0">
      <alignment horizontal="general" vertical="top" wrapText="1"/>
    </xf>
    <xf numFmtId="0" fontId="15" fillId="7" borderId="1" applyAlignment="1" pivotButton="0" quotePrefix="0" xfId="0">
      <alignment horizontal="general" vertical="top" wrapText="1"/>
    </xf>
    <xf numFmtId="0" fontId="14" fillId="5" borderId="1" applyAlignment="1" pivotButton="0" quotePrefix="0" xfId="0">
      <alignment horizontal="center" vertical="top"/>
    </xf>
    <xf numFmtId="0" fontId="16" fillId="7" borderId="1" applyAlignment="1" pivotButton="0" quotePrefix="0" xfId="0">
      <alignment horizontal="general" vertical="top" wrapText="1"/>
    </xf>
    <xf numFmtId="0" fontId="17" fillId="7" borderId="1" applyAlignment="1" pivotButton="0" quotePrefix="0" xfId="0">
      <alignment horizontal="general" vertical="top" wrapText="1"/>
    </xf>
    <xf numFmtId="0" fontId="14" fillId="8" borderId="1" applyAlignment="1" pivotButton="0" quotePrefix="0" xfId="0">
      <alignment horizontal="center" vertical="top"/>
    </xf>
    <xf numFmtId="0" fontId="14"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16" fillId="9" borderId="1" applyAlignment="1" pivotButton="0" quotePrefix="0" xfId="0">
      <alignment horizontal="general" vertical="top" wrapText="1"/>
    </xf>
    <xf numFmtId="0" fontId="14" fillId="10" borderId="1" applyAlignment="1" pivotButton="0" quotePrefix="0" xfId="0">
      <alignment horizontal="center" vertical="top"/>
    </xf>
    <xf numFmtId="0" fontId="17" fillId="9" borderId="1" applyAlignment="1" pivotButton="0" quotePrefix="0" xfId="0">
      <alignment horizontal="general" vertical="top" wrapText="1"/>
    </xf>
    <xf numFmtId="0" fontId="14" fillId="7" borderId="1" applyAlignment="1" pivotButton="0" quotePrefix="0" xfId="0">
      <alignment horizontal="general" vertical="top" wrapText="1"/>
    </xf>
    <xf numFmtId="0" fontId="15" fillId="7" borderId="1" applyAlignment="1" pivotButton="0" quotePrefix="0" xfId="0">
      <alignment horizontal="general" vertical="top" wrapText="1"/>
    </xf>
    <xf numFmtId="0" fontId="14" fillId="8" borderId="1" applyAlignment="1" pivotButton="0" quotePrefix="0" xfId="0">
      <alignment horizontal="center" vertical="top"/>
    </xf>
    <xf numFmtId="0" fontId="7" fillId="11" borderId="0" applyAlignment="1" pivotButton="0" quotePrefix="0" xfId="0">
      <alignment horizontal="general" vertical="bottom"/>
    </xf>
    <xf numFmtId="0" fontId="7" fillId="12" borderId="0" applyAlignment="1" pivotButton="0" quotePrefix="0" xfId="0">
      <alignment horizontal="general" vertical="bottom"/>
    </xf>
    <xf numFmtId="0" fontId="14" fillId="11" borderId="1" applyAlignment="1" pivotButton="0" quotePrefix="0" xfId="0">
      <alignment horizontal="general" vertical="top" wrapText="1"/>
    </xf>
    <xf numFmtId="0" fontId="15" fillId="11" borderId="1" applyAlignment="1" pivotButton="0" quotePrefix="0" xfId="0">
      <alignment horizontal="general" vertical="top" wrapText="1"/>
    </xf>
    <xf numFmtId="0" fontId="14" fillId="11" borderId="1" applyAlignment="1" pivotButton="0" quotePrefix="0" xfId="0">
      <alignment horizontal="center" vertical="top"/>
    </xf>
    <xf numFmtId="0" fontId="14"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0" borderId="1" applyAlignment="1" pivotButton="0" quotePrefix="0" xfId="0">
      <alignment horizontal="center" vertical="top"/>
    </xf>
    <xf numFmtId="0" fontId="14" fillId="12" borderId="1" applyAlignment="1" pivotButton="0" quotePrefix="0" xfId="0">
      <alignment horizontal="general" vertical="top" wrapText="1"/>
    </xf>
    <xf numFmtId="0" fontId="18" fillId="0" borderId="0" pivotButton="0" quotePrefix="0" xfId="0"/>
    <xf numFmtId="0" fontId="9" fillId="4" borderId="2" applyAlignment="1" pivotButton="0" quotePrefix="0" xfId="0">
      <alignment vertical="center" wrapText="1"/>
    </xf>
    <xf numFmtId="0" fontId="19" fillId="0" borderId="2" applyAlignment="1" pivotButton="0" quotePrefix="0" xfId="0">
      <alignment vertical="top" wrapText="1"/>
    </xf>
    <xf numFmtId="0" fontId="0" fillId="0" borderId="0" applyAlignment="1" pivotButton="0" quotePrefix="0" xfId="0">
      <alignment wrapText="1"/>
    </xf>
    <xf numFmtId="0" fontId="19" fillId="11" borderId="2" applyAlignment="1" pivotButton="0" quotePrefix="0" xfId="0">
      <alignment vertical="top" wrapText="1"/>
    </xf>
    <xf numFmtId="0" fontId="19" fillId="13" borderId="2" applyAlignment="1" pivotButton="0" quotePrefix="0" xfId="0">
      <alignment vertical="top" wrapText="1"/>
    </xf>
    <xf numFmtId="0" fontId="19" fillId="14" borderId="2" applyAlignment="1" pivotButton="0" quotePrefix="0" xfId="0">
      <alignment vertical="top" wrapText="1"/>
    </xf>
    <xf numFmtId="0" fontId="19" fillId="15"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fgColor rgb="FFF2F6FC"/>
          <bgColor rgb="FF000000"/>
        </patternFill>
      </fill>
    </dxf>
    <dxf>
      <fill>
        <patternFill patternType="solid">
          <fgColor rgb="FFFFFFFF"/>
          <bgColor rgb="FF000000"/>
        </patternFill>
      </fill>
    </dxf>
    <dxf>
      <fill>
        <patternFill patternType="solid">
          <bgColor rgb="FF000000"/>
        </patternFill>
      </fill>
    </dxf>
    <dxf>
      <fill>
        <patternFill patternType="solid">
          <fgColor rgb="FF1E7B34"/>
          <bgColor rgb="FF000000"/>
        </patternFill>
      </fill>
    </dxf>
    <dxf>
      <fill>
        <patternFill patternType="solid">
          <fgColor rgb="FF9C0006"/>
          <bgColor rgb="FF000000"/>
        </patternFill>
      </fill>
    </dxf>
    <dxf>
      <fill>
        <patternFill patternType="solid">
          <fgColor rgb="FFB45F06"/>
          <bgColor rgb="FF000000"/>
        </patternFill>
      </fill>
    </dxf>
    <dxf>
      <fill>
        <patternFill patternType="solid">
          <fgColor rgb="FFE4F5E1"/>
          <bgColor rgb="FF000000"/>
        </patternFill>
      </fill>
    </dxf>
    <dxf>
      <fill>
        <patternFill patternType="solid">
          <fgColor rgb="FFFCE4E4"/>
          <bgColor rgb="FF000000"/>
        </patternFill>
      </fill>
    </dxf>
    <dxf>
      <fill>
        <patternFill patternType="solid">
          <fgColor rgb="FFFFF6D8"/>
          <bgColor rgb="FF000000"/>
        </patternFill>
      </fill>
    </dxf>
  </dxfs>
  <colors>
    <indexedColors>
      <rgbColor rgb="FF000000"/>
      <rgbColor rgb="FFFFFFFF"/>
      <rgbColor rgb="FFC00000"/>
      <rgbColor rgb="FF00FF00"/>
      <rgbColor rgb="FF0000FF"/>
      <rgbColor rgb="FFFFFF00"/>
      <rgbColor rgb="FFFF00FF"/>
      <rgbColor rgb="FF00FFFF"/>
      <rgbColor rgb="FF7F0000"/>
      <rgbColor rgb="FF1E7B34"/>
      <rgbColor rgb="FF000080"/>
      <rgbColor rgb="FF808000"/>
      <rgbColor rgb="FF800080"/>
      <rgbColor rgb="FF008080"/>
      <rgbColor rgb="FFBFBFBF"/>
      <rgbColor rgb="FF4F81BD"/>
      <rgbColor rgb="FF9999FF"/>
      <rgbColor rgb="FF993366"/>
      <rgbColor rgb="FFFFF6D8"/>
      <rgbColor rgb="FFE2EFDA"/>
      <rgbColor rgb="FF660066"/>
      <rgbColor rgb="FFFF8080"/>
      <rgbColor rgb="FF0066CC"/>
      <rgbColor rgb="FFD9D9D9"/>
      <rgbColor rgb="FF000080"/>
      <rgbColor rgb="FFFF00FF"/>
      <rgbColor rgb="FFFFFF00"/>
      <rgbColor rgb="FF00FFFF"/>
      <rgbColor rgb="FF800080"/>
      <rgbColor rgb="FF9C0006"/>
      <rgbColor rgb="FF008080"/>
      <rgbColor rgb="FF0000FF"/>
      <rgbColor rgb="FF00CCFF"/>
      <rgbColor rgb="FFF2F6FC"/>
      <rgbColor rgb="FFE4F5E1"/>
      <rgbColor rgb="FFF2F2F2"/>
      <rgbColor rgb="FFFCE4E4"/>
      <rgbColor rgb="FFFF99CC"/>
      <rgbColor rgb="FFCC99FF"/>
      <rgbColor rgb="FFF4CCCC"/>
      <rgbColor rgb="FF2E75B6"/>
      <rgbColor rgb="FF33CCCC"/>
      <rgbColor rgb="FF99CC00"/>
      <rgbColor rgb="FFFFCC00"/>
      <rgbColor rgb="FFFF9900"/>
      <rgbColor rgb="FFFF6600"/>
      <rgbColor rgb="FF595959"/>
      <rgbColor rgb="FFA6A6A6"/>
      <rgbColor rgb="FF1F3864"/>
      <rgbColor rgb="FF70AD47"/>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Resultados de Pruebas por Estado</a:t>
            </a:r>
          </a:p>
        </rich>
      </tx>
      <overlay val="0"/>
      <spPr>
        <a:noFill/>
        <a:ln w="0">
          <a:noFill/>
          <a:prstDash val="solid"/>
        </a:ln>
      </spPr>
    </title>
    <plotArea>
      <pieChart>
        <varyColors val="1"/>
        <ser>
          <idx val="0"/>
          <order val="0"/>
          <tx>
            <strRef>
              <f>Dashboard!C15</f>
              <strCache>
                <ptCount val="1"/>
                <pt idx="0">
                  <v>Cantidad</v>
                </pt>
              </strCache>
            </strRef>
          </tx>
          <spPr>
            <a:solidFill>
              <a:srgbClr val="4f81bd"/>
            </a:solidFill>
            <a:ln w="0">
              <a:noFill/>
              <a:prstDash val="solid"/>
            </a:ln>
          </spPr>
          <explosion val="0"/>
          <dPt>
            <idx val="0"/>
            <spPr>
              <a:solidFill>
                <a:srgbClr val="70ad47"/>
              </a:solidFill>
              <a:ln w="0">
                <a:noFill/>
                <a:prstDash val="solid"/>
              </a:ln>
            </spPr>
          </dPt>
          <dPt>
            <idx val="1"/>
            <spPr>
              <a:solidFill>
                <a:srgbClr val="c00000"/>
              </a:solidFill>
              <a:ln w="0">
                <a:noFill/>
                <a:prstDash val="solid"/>
              </a:ln>
            </spPr>
          </dPt>
          <dPt>
            <idx val="2"/>
            <spPr>
              <a:solidFill>
                <a:srgbClr val="7f0000"/>
              </a:solidFill>
              <a:ln w="0">
                <a:noFill/>
                <a:prstDash val="solid"/>
              </a:ln>
            </spPr>
          </dPt>
          <dPt>
            <idx val="3"/>
            <spPr>
              <a:solidFill>
                <a:srgbClr val="a6a6a6"/>
              </a:solidFill>
              <a:ln w="0">
                <a:noFill/>
                <a:prstDash val="solid"/>
              </a:ln>
            </spPr>
          </dPt>
          <dLbls>
            <dLbl>
              <idx val="0"/>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1"/>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2"/>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3"/>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showLeaderLines val="1"/>
          </dLbls>
          <cat>
            <strRef>
              <f>Dashboard!$B$16:$B$19</f>
              <strCache>
                <ptCount val="4"/>
                <pt idx="0">
                  <v>Aprobado</v>
                </pt>
                <pt idx="1">
                  <v>Fallido</v>
                </pt>
                <pt idx="2">
                  <v>Bloqueado</v>
                </pt>
                <pt idx="3">
                  <v>Sin Ejecutar</v>
                </pt>
              </strCache>
            </strRef>
          </cat>
          <val>
            <numRef>
              <f>Dashboard!$C$16:$C$19</f>
              <numCache>
                <formatCode>General</formatCode>
                <ptCount val="4"/>
                <pt idx="0">
                  <v>0</v>
                </pt>
                <pt idx="1">
                  <v>0</v>
                </pt>
                <pt idx="2">
                  <v>0</v>
                </pt>
                <pt idx="3">
                  <v>49</v>
                </pt>
              </numCache>
            </numRef>
          </val>
        </ser>
        <firstSliceAng val="0"/>
      </pieChart>
    </plotArea>
    <legend>
      <legendPos val="r"/>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Avance de Ejecucion</a:t>
            </a:r>
          </a:p>
        </rich>
      </tx>
      <overlay val="0"/>
      <spPr>
        <a:noFill/>
        <a:ln w="0">
          <a:noFill/>
          <a:prstDash val="solid"/>
        </a:ln>
      </spPr>
    </title>
    <plotArea>
      <pieChart>
        <varyColors val="1"/>
        <ser>
          <idx val="0"/>
          <order val="0"/>
          <tx>
            <strRef>
              <f>Dashboard!C21</f>
              <strCache>
                <ptCount val="1"/>
                <pt idx="0">
                  <v>Cantidad</v>
                </pt>
              </strCache>
            </strRef>
          </tx>
          <spPr>
            <a:solidFill>
              <a:srgbClr val="4f81bd"/>
            </a:solidFill>
            <a:ln w="0">
              <a:noFill/>
              <a:prstDash val="solid"/>
            </a:ln>
          </spPr>
          <explosion val="0"/>
          <dPt>
            <idx val="0"/>
            <spPr>
              <a:solidFill>
                <a:srgbClr val="2e75b6"/>
              </a:solidFill>
              <a:ln w="0">
                <a:noFill/>
                <a:prstDash val="solid"/>
              </a:ln>
            </spPr>
          </dPt>
          <dPt>
            <idx val="1"/>
            <spPr>
              <a:solidFill>
                <a:srgbClr val="d9d9d9"/>
              </a:solidFill>
              <a:ln w="0">
                <a:noFill/>
                <a:prstDash val="solid"/>
              </a:ln>
            </spPr>
          </dPt>
          <dLbls>
            <dLbl>
              <idx val="0"/>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1"/>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showLeaderLines val="1"/>
          </dLbls>
          <cat>
            <strRef>
              <f>Dashboard!$B$22:$B$23</f>
              <strCache>
                <ptCount val="2"/>
                <pt idx="0">
                  <v>Ejecutado</v>
                </pt>
                <pt idx="1">
                  <v>Sin Ejecutar</v>
                </pt>
              </strCache>
            </strRef>
          </cat>
          <val>
            <numRef>
              <f>Dashboard!$C$22:$C$23</f>
              <numCache>
                <formatCode>General</formatCode>
                <ptCount val="2"/>
                <pt idx="0">
                  <v>0</v>
                </pt>
                <pt idx="1">
                  <v>49</v>
                </pt>
              </numCache>
            </numRef>
          </val>
        </ser>
        <firstSliceAng val="0"/>
      </pieChart>
    </plotArea>
    <legend>
      <legendPos val="r"/>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0</colOff>
      <row>3</row>
      <rowOff>131040</rowOff>
    </from>
    <to>
      <col>11</col>
      <colOff>399240</colOff>
      <row>19</row>
      <rowOff>127800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4</col>
      <colOff>0</colOff>
      <row>21</row>
      <rowOff>116280</rowOff>
    </from>
    <to>
      <col>11</col>
      <colOff>399240</colOff>
      <row>37</row>
      <rowOff>127800</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40" customWidth="1" style="31" min="2" max="2"/>
    <col width="62" customWidth="1" style="31" min="3" max="3"/>
  </cols>
  <sheetData>
    <row r="2" ht="24.45" customHeight="1" s="32">
      <c r="B2" s="33" t="inlineStr">
        <is>
          <t>Matriz de Pruebas - Boton de Pago</t>
        </is>
      </c>
    </row>
    <row r="3" ht="15" customHeight="1" s="32">
      <c r="B3" s="34" t="inlineStr">
        <is>
          <t>Gobierno de Puebla / Memphis Pay</t>
        </is>
      </c>
    </row>
    <row r="4" ht="15" customHeight="1" s="32">
      <c r="B4" s="34" t="inlineStr">
        <is>
          <t>Version simplificada para pruebas manuales de QA (sin detalles tecnicos de backend)</t>
        </is>
      </c>
    </row>
    <row r="6" ht="15" customHeight="1" s="32">
      <c r="B6" s="35" t="inlineStr">
        <is>
          <t>Proyecto:</t>
        </is>
      </c>
      <c r="C6" s="42" t="inlineStr">
        <is>
          <t>Boton de Pago - Gobierno de Puebla</t>
        </is>
      </c>
    </row>
    <row r="7" ht="15" customHeight="1" s="32">
      <c r="B7" s="35" t="inlineStr">
        <is>
          <t>Elaborado por:</t>
        </is>
      </c>
      <c r="C7" s="42" t="inlineStr">
        <is>
          <t>QA Architect - Memphis Pay</t>
        </is>
      </c>
    </row>
    <row r="8" ht="15" customHeight="1" s="32">
      <c r="B8" s="35" t="inlineStr">
        <is>
          <t>Tipo de matriz:</t>
        </is>
      </c>
      <c r="C8" s="42" t="inlineStr">
        <is>
          <t>Pruebas manuales / funcionales (nivel usuario)</t>
        </is>
      </c>
    </row>
    <row r="9" ht="15" customHeight="1" s="32">
      <c r="B9" s="35" t="inlineStr">
        <is>
          <t>Total de casos:</t>
        </is>
      </c>
      <c r="C9" s="42" t="n">
        <v>71</v>
      </c>
    </row>
    <row r="10">
      <c r="B10" s="35" t="inlineStr">
        <is>
          <t>Version:</t>
        </is>
      </c>
      <c r="C10" s="42" t="inlineStr">
        <is>
          <t>2.1 - Revision 30/09/2026 (casos depurados; los IDs eliminados quedan vacios, sin renumerar)</t>
        </is>
      </c>
    </row>
    <row r="11" ht="16.15" customHeight="1" s="32">
      <c r="B11" s="37" t="inlineStr">
        <is>
          <t>Alcance de las Pruebas (QA)</t>
        </is>
      </c>
    </row>
    <row r="12" ht="48" customHeight="1" s="32">
      <c r="B12" s="38" t="inlineStr">
        <is>
          <t>Fase 1 - Gobierno de Puebla</t>
        </is>
      </c>
      <c r="C12" s="39" t="inlineStr">
        <is>
          <t>El contribuyente ingresa su referencia o linea de captura en el portal del Gobierno y es redirigido al Boton de Pago. El portal queda FUERA del alcance, salvo los casos de referencia/linea de captura inexistente (modulo 13).</t>
        </is>
      </c>
    </row>
    <row r="13" ht="48" customHeight="1" s="32">
      <c r="B13" s="40" t="inlineStr">
        <is>
          <t>Fase 2 - Memphis Pay (nuestro desarrollo)</t>
        </is>
      </c>
      <c r="C13" s="39" t="inlineStr">
        <is>
          <t>Desde la pantalla 'Validando link de pago' hasta el resultado final (aprobado/rechazado), incluyendo MSI e importes. ES el alcance de esta matriz.</t>
        </is>
      </c>
    </row>
    <row r="14" ht="48" customHeight="1" s="32">
      <c r="B14" s="38" t="inlineStr">
        <is>
          <t>Fase 3 - Redireccion de vuelta al Gobierno de Puebla</t>
        </is>
      </c>
      <c r="C14" s="39" t="inlineStr">
        <is>
          <t>Al terminar el pago, el sistema redirige al 'COMPROBANTE DE PAGO' del Gobierno. Se valida la redireccion, que los datos del comprobante coincidan con el pago y, de forma manual, que el pago se refleje en Citeling.</t>
        </is>
      </c>
    </row>
    <row r="16" ht="16.15" customHeight="1" s="32">
      <c r="B16" s="37" t="inlineStr">
        <is>
          <t>Resumen por Modulo</t>
        </is>
      </c>
    </row>
    <row r="17" ht="15" customHeight="1" s="32">
      <c r="B17" s="41" t="inlineStr">
        <is>
          <t>Modulo</t>
        </is>
      </c>
      <c r="C17" s="41" t="inlineStr">
        <is>
          <t>No. de Casos</t>
        </is>
      </c>
    </row>
    <row r="18" ht="15" customHeight="1" s="32">
      <c r="B18" s="42" t="inlineStr">
        <is>
          <t>00. Happy Path - Flujo completo de pago</t>
        </is>
      </c>
      <c r="C18" s="52" t="n">
        <v>1</v>
      </c>
    </row>
    <row r="19" ht="15" customHeight="1" s="32">
      <c r="B19" s="42" t="inlineStr">
        <is>
          <t>01. Acceso con Referencia / Linea de Captura (inicio del alcance QA)</t>
        </is>
      </c>
      <c r="C19" s="52" t="n">
        <v>5</v>
      </c>
    </row>
    <row r="20" ht="15" customHeight="1" s="32">
      <c r="B20" s="42" t="inlineStr">
        <is>
          <t>02. Paso 1 - Datos de Contacto</t>
        </is>
      </c>
      <c r="C20" s="52" t="n">
        <v>9</v>
      </c>
    </row>
    <row r="21" ht="15" customHeight="1" s="32">
      <c r="B21" s="42" t="inlineStr">
        <is>
          <t>03. Paso 2 - Direccion</t>
        </is>
      </c>
      <c r="C21" s="52" t="n">
        <v>7</v>
      </c>
    </row>
    <row r="22" ht="15" customHeight="1" s="32">
      <c r="B22" s="42" t="inlineStr">
        <is>
          <t>04. Paso 3 - Datos de Tarjeta</t>
        </is>
      </c>
      <c r="C22" s="52" t="n">
        <v>13</v>
      </c>
    </row>
    <row r="23" ht="15" customHeight="1" s="32">
      <c r="B23" s="42" t="inlineStr">
        <is>
          <t>05. Procesamiento del Pago y Autenticacion del Banco (3D Secure)</t>
        </is>
      </c>
      <c r="C23" s="52" t="n">
        <v>6</v>
      </c>
    </row>
    <row r="24" ht="15" customHeight="1" s="32">
      <c r="B24" s="42" t="inlineStr">
        <is>
          <t>06. Resultado Exitoso (fin del alcance QA - redireccion al Gobierno)</t>
        </is>
      </c>
      <c r="C24" s="52" t="n">
        <v>2</v>
      </c>
    </row>
    <row r="25" ht="15" customHeight="1" s="32">
      <c r="B25" s="42" t="inlineStr">
        <is>
          <t>07. Resultado Fallido y Reintento</t>
        </is>
      </c>
      <c r="C25" s="52" t="n">
        <v>4</v>
      </c>
    </row>
    <row r="26" ht="15" customHeight="1" s="32">
      <c r="B26" s="42" t="inlineStr">
        <is>
          <t>08. Casos Especiales de Navegacion (usuario con poco conocimiento tecnico)</t>
        </is>
      </c>
      <c r="C26" s="52" t="n">
        <v>11</v>
      </c>
    </row>
    <row r="27" ht="15" customHeight="1" s="32">
      <c r="B27" s="42" t="inlineStr">
        <is>
          <t>09. Compatibilidad y Accesibilidad</t>
        </is>
      </c>
      <c r="C27" s="52" t="n">
        <v>3</v>
      </c>
    </row>
    <row r="28">
      <c r="B28" s="42" t="inlineStr">
        <is>
          <t>10. Paso 4 - Confirmacion antes de pagar</t>
        </is>
      </c>
      <c r="C28" s="52" t="n">
        <v>2</v>
      </c>
    </row>
    <row r="29">
      <c r="B29" s="42" t="inlineStr">
        <is>
          <t>11. Meses Sin Intereses (MSI)</t>
        </is>
      </c>
      <c r="C29" s="52" t="n">
        <v>4</v>
      </c>
    </row>
    <row r="30">
      <c r="B30" s="42" t="inlineStr">
        <is>
          <t>12. Importes menores a $1,000</t>
        </is>
      </c>
      <c r="C30" s="52" t="n">
        <v>2</v>
      </c>
    </row>
    <row r="31">
      <c r="B31" s="42" t="inlineStr">
        <is>
          <t>13. Datos No Existentes y Reintentar</t>
        </is>
      </c>
      <c r="C31" s="52" t="n">
        <v>2</v>
      </c>
    </row>
    <row r="32">
      <c r="B32" s="42" t="inlineStr">
        <is>
          <t>14. Formatos de Campos</t>
        </is>
      </c>
      <c r="C32" s="52" t="n">
        <v>0</v>
      </c>
    </row>
    <row r="33">
      <c r="B33" s="41" t="inlineStr">
        <is>
          <t>TOTAL</t>
        </is>
      </c>
      <c r="C33" s="41">
        <f>SUM(C18:C32)</f>
        <v/>
      </c>
    </row>
    <row r="34"/>
    <row r="35">
      <c r="B35" s="37" t="inlineStr">
        <is>
          <t>Leyenda</t>
        </is>
      </c>
    </row>
    <row r="36">
      <c r="B36" s="68" t="inlineStr">
        <is>
          <t>Fila en verde</t>
        </is>
      </c>
      <c r="C36" s="42" t="inlineStr">
        <is>
          <t>Caso nuevo (no estaba en la version original de 49 casos). Total: 28</t>
        </is>
      </c>
    </row>
    <row r="37">
      <c r="B37" s="69" t="inlineStr">
        <is>
          <t>Observaciones en amarillo</t>
        </is>
      </c>
      <c r="C37" s="42" t="inlineStr">
        <is>
          <t>Caso por validar si aplica (comentario de revision)</t>
        </is>
      </c>
    </row>
    <row r="38">
      <c r="B38" s="42" t="inlineStr">
        <is>
          <t>Columna 'Ejecucion'</t>
        </is>
      </c>
      <c r="C38" s="42" t="inlineStr">
        <is>
          <t>Automatizada / Mixta (automatizada + Citeling manual) / Manual / Por automatizar</t>
        </is>
      </c>
    </row>
    <row r="39">
      <c r="B39" s="42" t="inlineStr">
        <is>
          <t>Fila vacia (solo ID)</t>
        </is>
      </c>
      <c r="C39" s="42" t="inlineStr">
        <is>
          <t>Caso eliminado en la revision del 30/09/2026 (30 casos); el ID no se reutiliza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32" customWidth="1" style="31" min="2" max="2"/>
    <col width="16" customWidth="1" style="31" min="3" max="3"/>
  </cols>
  <sheetData>
    <row r="2" ht="19.7" customHeight="1" s="32">
      <c r="B2" s="44" t="inlineStr">
        <is>
          <t>Dashboard de Metricas - Matriz de Pruebas Boton de Pago</t>
        </is>
      </c>
    </row>
    <row r="3" ht="15" customHeight="1" s="32">
      <c r="B3" s="45" t="inlineStr">
        <is>
          <t>Se actualiza solo al llenar la columna 'Estado' en la hoja Matriz de Pruebas</t>
        </is>
      </c>
    </row>
    <row r="5" ht="16.15" customHeight="1" s="32">
      <c r="B5" s="37" t="inlineStr">
        <is>
          <t>Resumen General</t>
        </is>
      </c>
    </row>
    <row r="6" ht="15" customHeight="1" s="32">
      <c r="B6" s="35" t="inlineStr">
        <is>
          <t>Total de Casos</t>
        </is>
      </c>
      <c r="C6" s="46">
        <f>COUNTA('Matriz de Pruebas'!C2:C500)</f>
        <v/>
      </c>
    </row>
    <row r="7" ht="15" customHeight="1" s="32">
      <c r="B7" s="35" t="inlineStr">
        <is>
          <t>Casos Aprobados</t>
        </is>
      </c>
      <c r="C7" s="47">
        <f>COUNTIF('Matriz de Pruebas'!L2:L500,"Aprobado")</f>
        <v/>
      </c>
    </row>
    <row r="8" ht="15" customHeight="1" s="32">
      <c r="B8" s="35" t="inlineStr">
        <is>
          <t>Casos Fallidos</t>
        </is>
      </c>
      <c r="C8" s="48">
        <f>COUNTIF('Matriz de Pruebas'!L2:L500,"Fallido")</f>
        <v/>
      </c>
    </row>
    <row r="9" ht="15" customHeight="1" s="32">
      <c r="B9" s="35" t="inlineStr">
        <is>
          <t>Casos Bloqueados</t>
        </is>
      </c>
      <c r="C9" s="49">
        <f>COUNTIF('Matriz de Pruebas'!L2:L500,"Bloqueado")</f>
        <v/>
      </c>
    </row>
    <row r="10" ht="15" customHeight="1" s="32">
      <c r="B10" s="35" t="inlineStr">
        <is>
          <t>Casos Sin Ejecutar</t>
        </is>
      </c>
      <c r="C10" s="50">
        <f>COUNTIF('Matriz de Pruebas'!L2:L500,"Pendiente")+COUNTIF('Matriz de Pruebas'!L2:L500,"En Ejecucion")+COUNTIF('Matriz de Pruebas'!L2:L500,"No Aplica")</f>
        <v/>
      </c>
    </row>
    <row r="12" ht="15" customHeight="1" s="32">
      <c r="B12" s="35" t="inlineStr">
        <is>
          <t>% Ejecutado</t>
        </is>
      </c>
      <c r="C12" s="51">
        <f>IF($C$6=0,0,($C$7+$C$8+$C$9)/$C$6)</f>
        <v/>
      </c>
    </row>
    <row r="13" ht="15" customHeight="1" s="32">
      <c r="B13" s="35" t="inlineStr">
        <is>
          <t>% Aprobacion (de ejecutados)</t>
        </is>
      </c>
      <c r="C13" s="51">
        <f>IF(($C$7+$C$8+$C$9)=0,0,$C$7/($C$7+$C$8+$C$9))</f>
        <v/>
      </c>
    </row>
    <row r="15" ht="15" customHeight="1" s="32">
      <c r="B15" s="41" t="inlineStr">
        <is>
          <t>Estado</t>
        </is>
      </c>
      <c r="C15" s="41" t="inlineStr">
        <is>
          <t>Cantidad</t>
        </is>
      </c>
    </row>
    <row r="16" ht="15" customHeight="1" s="32">
      <c r="B16" s="42" t="inlineStr">
        <is>
          <t>Aprobado</t>
        </is>
      </c>
      <c r="C16" s="52">
        <f>$C$7</f>
        <v/>
      </c>
    </row>
    <row r="17" ht="15" customHeight="1" s="32">
      <c r="B17" s="42" t="inlineStr">
        <is>
          <t>Fallido</t>
        </is>
      </c>
      <c r="C17" s="52">
        <f>$C$8</f>
        <v/>
      </c>
    </row>
    <row r="18" ht="15" customHeight="1" s="32">
      <c r="B18" s="42" t="inlineStr">
        <is>
          <t>Bloqueado</t>
        </is>
      </c>
      <c r="C18" s="52">
        <f>$C$9</f>
        <v/>
      </c>
    </row>
    <row r="19" ht="15" customHeight="1" s="32">
      <c r="B19" s="42" t="inlineStr">
        <is>
          <t>Sin Ejecutar</t>
        </is>
      </c>
      <c r="C19" s="52">
        <f>$C$10</f>
        <v/>
      </c>
    </row>
    <row r="21" ht="15" customHeight="1" s="32">
      <c r="B21" s="41" t="inlineStr">
        <is>
          <t>Avance</t>
        </is>
      </c>
      <c r="C21" s="41" t="inlineStr">
        <is>
          <t>Cantidad</t>
        </is>
      </c>
    </row>
    <row r="22" ht="15" customHeight="1" s="32">
      <c r="B22" s="42" t="inlineStr">
        <is>
          <t>Ejecutado</t>
        </is>
      </c>
      <c r="C22" s="52">
        <f>$C$7+$C$8+$C$9</f>
        <v/>
      </c>
    </row>
    <row r="23" ht="15" customHeight="1" s="32">
      <c r="B23" s="42" t="inlineStr">
        <is>
          <t>Sin Ejecutar</t>
        </is>
      </c>
      <c r="C23" s="52">
        <f>$C$10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0"/>
  </sheetPr>
  <dimension ref="A1:N10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12" customWidth="1" style="31" min="1" max="1"/>
    <col width="34" customWidth="1" style="31" min="2" max="2"/>
    <col width="40" customWidth="1" style="31" min="3" max="3"/>
    <col width="12" customWidth="1" style="31" min="4" max="4"/>
    <col width="10" customWidth="1" style="31" min="5" max="5"/>
    <col width="34" customWidth="1" style="31" min="6" max="6"/>
    <col width="22" customWidth="1" style="31" min="7" max="7"/>
    <col width="36" customWidth="1" style="31" min="8" max="8"/>
    <col width="24" customWidth="1" style="31" min="9" max="9"/>
    <col width="40" customWidth="1" style="31" min="10" max="10"/>
    <col width="20" customWidth="1" style="31" min="11" max="11"/>
    <col width="16" customWidth="1" style="31" min="12" max="12"/>
    <col width="30" customWidth="1" style="31" min="13" max="13"/>
    <col width="24" customWidth="1" style="32" min="14" max="14"/>
  </cols>
  <sheetData>
    <row r="1" ht="26.85" customHeight="1" s="32">
      <c r="A1" s="53" t="inlineStr">
        <is>
          <t>ID</t>
        </is>
      </c>
      <c r="B1" s="53" t="inlineStr">
        <is>
          <t>Modulo</t>
        </is>
      </c>
      <c r="C1" s="53" t="inlineStr">
        <is>
          <t>Caso de Prueba</t>
        </is>
      </c>
      <c r="D1" s="53" t="inlineStr">
        <is>
          <t>Tipo</t>
        </is>
      </c>
      <c r="E1" s="53" t="inlineStr">
        <is>
          <t>Prioridad</t>
        </is>
      </c>
      <c r="F1" s="53" t="inlineStr">
        <is>
          <t>Precondiciones</t>
        </is>
      </c>
      <c r="G1" s="53" t="inlineStr">
        <is>
          <t>Requiere 3DS</t>
        </is>
      </c>
      <c r="H1" s="53" t="inlineStr">
        <is>
          <t>Pasos a Seguir</t>
        </is>
      </c>
      <c r="I1" s="53" t="inlineStr">
        <is>
          <t>Datos de Prueba</t>
        </is>
      </c>
      <c r="J1" s="53" t="inlineStr">
        <is>
          <t>Resultado Esperado</t>
        </is>
      </c>
      <c r="K1" s="53" t="inlineStr">
        <is>
          <t>Resultado Obtenido</t>
        </is>
      </c>
      <c r="L1" s="53" t="inlineStr">
        <is>
          <t>Estado</t>
        </is>
      </c>
      <c r="M1" s="53" t="inlineStr">
        <is>
          <t>Observaciones</t>
        </is>
      </c>
      <c r="N1" s="53" t="inlineStr">
        <is>
          <t>Ejecucion</t>
        </is>
      </c>
    </row>
    <row r="2" ht="120" customHeight="1" s="32">
      <c r="A2" s="70" t="inlineStr">
        <is>
          <t>TC-BP-050</t>
        </is>
      </c>
      <c r="B2" s="70" t="inlineStr">
        <is>
          <t>00. Happy Path - Flujo completo de pago</t>
        </is>
      </c>
      <c r="C2" s="70" t="inlineStr">
        <is>
          <t>Happy path: completar el pago de principio a fin con datos validos</t>
        </is>
      </c>
      <c r="D2" s="71" t="inlineStr">
        <is>
          <t>EXITO</t>
        </is>
      </c>
      <c r="E2" s="72" t="inlineStr">
        <is>
          <t>Alta</t>
        </is>
      </c>
      <c r="F2" s="70" t="inlineStr">
        <is>
          <t>Referencia o linea de captura vigente y sin pagar; tarjeta de prueba aprobada</t>
        </is>
      </c>
      <c r="G2" s="70" t="inlineStr">
        <is>
          <t>No - tarjeta 'Not challenge' (se aprueba sin reto)</t>
        </is>
      </c>
      <c r="H2"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Revisar la pantalla 'Transaccion aprobada' y anotar la Autorizacion
8. Esperar la redireccion al 'COMPROBANTE DE PAGO' del Gobierno y comparar la Autorizacion Bancaria
9. (Manual) Ingresar a Citeling y verificar que el pago aparezca con la referencia, importe, autorizacion, fecha y tipo de pago</t>
        </is>
      </c>
      <c r="I2" s="70" t="inlineStr">
        <is>
          <t>Tel: 5540076333 / Correo: santiago.tapia@memphis.mx / Calle: Reforma 245 / CP: 16200 / Ciudad: Cholula / Mexico / Puebla / Juan Hernandez / VISA 4111 1111 1111 1111 / vencimiento futuro (ej. 12/30) / CVV 123</t>
        </is>
      </c>
      <c r="J2" s="70" t="inlineStr">
        <is>
          <t>Se muestra 'Transaccion aprobada' con Codigo de respuesta 00, Referencia, Autorizacion e Identificador; despues el 'COMPROBANTE DE PAGO' del Gobierno con la misma autorizacion; el pago se refleja en Citeling</t>
        </is>
      </c>
      <c r="K2" s="70" t="n"/>
      <c r="L2" s="70" t="inlineStr">
        <is>
          <t>Pendiente</t>
        </is>
      </c>
      <c r="M2" s="70" t="inlineStr">
        <is>
          <t>[CASO NUEVO] Caso base automatizado; cada paso deja captura en la evidencia
[Revision 29/09/2026] Pasos actualizados al flujo real (referencia / linea de captura)
[Revision 29/09/2026] La redireccion termina en el 'COMPROBANTE DE PAGO' del Gobierno (ver TC-BP-099 a 101)</t>
        </is>
      </c>
      <c r="N2" s="70" t="inlineStr">
        <is>
          <t>Mixta (automatizada + Citeling manual)</t>
        </is>
      </c>
    </row>
    <row r="3" ht="75" customHeight="1" s="32">
      <c r="A3" s="73" t="inlineStr">
        <is>
          <t>TC-BP-001</t>
        </is>
      </c>
      <c r="B3" s="73" t="inlineStr">
        <is>
          <t>01. Acceso con Referencia / Linea de Captura (inicio del alcance QA)</t>
        </is>
      </c>
      <c r="C3" s="73" t="inlineStr">
        <is>
          <t>Flujo completo: ingresar con una referencia o linea de captura valida y llegar al formulario de pago</t>
        </is>
      </c>
      <c r="D3" s="74" t="inlineStr">
        <is>
          <t>EXITO</t>
        </is>
      </c>
      <c r="E3" s="75" t="inlineStr">
        <is>
          <t>Alta</t>
        </is>
      </c>
      <c r="F3" s="73" t="inlineStr">
        <is>
          <t>Se cuenta con una referencia o linea de captura vigente y sin pagar del Gobierno de Puebla</t>
        </is>
      </c>
      <c r="G3" s="73" t="inlineStr">
        <is>
          <t>N/A</t>
        </is>
      </c>
      <c r="H3" s="73" t="inlineStr">
        <is>
          <t>1. Entrar al portal de pagos del Gobierno &gt; 'Predial' y capturar la referencia o linea de captura
2. Capturar el captcha y dar clic en 'Consultar'
3. Dar clic en el boton de pago en linea
4. Verificar la pantalla 'Validando link de pago'
5. Verificar el Paso 1 - Contacto con importe, concepto, fecha, solicitante, descripcion y referencia</t>
        </is>
      </c>
      <c r="I3" s="73" t="inlineStr">
        <is>
          <t>Referencia o linea de captura vigente</t>
        </is>
      </c>
      <c r="J3" s="73" t="inlineStr">
        <is>
          <t>Se muestra 'Validando link de pago' y despues el Paso 1 - Contacto con importe, concepto y referencia correctos</t>
        </is>
      </c>
      <c r="K3" s="73" t="n"/>
      <c r="L3" s="73" t="inlineStr">
        <is>
          <t>Pendiente</t>
        </is>
      </c>
      <c r="M3" s="73" t="inlineStr">
        <is>
          <t>Este es el punto de entrada al alcance de QA de Memphis; el portal del Gobierno donde se captura la referencia o linea de captura no forma parte de esta matriz
[Revision 29/09/2026] Pasos actualizados al flujo real (referencia / linea de captura)</t>
        </is>
      </c>
      <c r="N3" s="73" t="inlineStr">
        <is>
          <t>Automatizada</t>
        </is>
      </c>
    </row>
    <row r="4" ht="75" customHeight="1" s="32">
      <c r="A4" s="73" t="inlineStr">
        <is>
          <t>TC-BP-002</t>
        </is>
      </c>
      <c r="B4" s="73" t="inlineStr">
        <is>
          <t>01. Acceso con Referencia / Linea de Captura (inicio del alcance QA)</t>
        </is>
      </c>
      <c r="C4" s="73" t="inlineStr">
        <is>
          <t>Ingresar con una referencia o linea de captura vencida o invalida</t>
        </is>
      </c>
      <c r="D4" s="74" t="inlineStr">
        <is>
          <t>ERROR</t>
        </is>
      </c>
      <c r="E4" s="75" t="inlineStr">
        <is>
          <t>Alta</t>
        </is>
      </c>
      <c r="F4" s="73" t="inlineStr">
        <is>
          <t>Se cuenta con una referencia o linea de captura vencida o mal escrita</t>
        </is>
      </c>
      <c r="G4" s="73" t="inlineStr">
        <is>
          <t>N/A</t>
        </is>
      </c>
      <c r="H4" s="73" t="inlineStr">
        <is>
          <t>1. Entrar al portal de pagos del Gobierno &gt; 'Predial' y capturar la referencia o linea de captura vencida o mal escrita
2. Capturar el captcha y dar clic en 'Consultar'
3. Si el portal permite continuar, dar clic en el boton de pago en linea
4. Revisar el mensaje mostrado</t>
        </is>
      </c>
      <c r="I4" s="73" t="inlineStr">
        <is>
          <t>Referencia o linea de captura vencida / invalida</t>
        </is>
      </c>
      <c r="J4" s="73" t="inlineStr">
        <is>
          <t>Se muestra un mensaje claro (ej. 'Link de pago no valido - Solicita uno nuevo para continuar la transaccion.') y no se permite pagar</t>
        </is>
      </c>
      <c r="K4" s="73" t="n"/>
      <c r="L4" s="73" t="inlineStr">
        <is>
          <t>Pendiente</t>
        </is>
      </c>
      <c r="M4" s="73" t="inlineStr">
        <is>
          <t>[Act. 29/09/2026] Actualizado con las pantallas reales
[Revision 29/09/2026] Pasos actualizados al flujo real (referencia / linea de captura)</t>
        </is>
      </c>
      <c r="N4" s="73" t="inlineStr">
        <is>
          <t>Automatizada</t>
        </is>
      </c>
    </row>
    <row r="5" ht="75" customHeight="1" s="32">
      <c r="A5" s="73" t="inlineStr">
        <is>
          <t>TC-BP-003</t>
        </is>
      </c>
      <c r="B5" s="73" t="inlineStr">
        <is>
          <t>01. Acceso con Referencia / Linea de Captura (inicio del alcance QA)</t>
        </is>
      </c>
      <c r="C5" s="73" t="inlineStr">
        <is>
          <t>Volver a ingresar con una referencia que ya fue pagada</t>
        </is>
      </c>
      <c r="D5" s="74" t="inlineStr">
        <is>
          <t>ESPECIAL</t>
        </is>
      </c>
      <c r="E5" s="75" t="inlineStr">
        <is>
          <t>Alta</t>
        </is>
      </c>
      <c r="F5" s="73" t="inlineStr">
        <is>
          <t>Existe un pago aprobado para la referencia o linea de captura</t>
        </is>
      </c>
      <c r="G5" s="73" t="inlineStr">
        <is>
          <t>N/A</t>
        </is>
      </c>
      <c r="H5" s="73" t="inlineStr">
        <is>
          <t>1. Completar un pago aprobado con la referencia (hoja 'Flujo Real')
2. Volver a entrar al portal &gt; 'Predial' y capturar la misma referencia o linea de captura
3. Dar 'Consultar' e intentar ir al boton de pago
4. Revisar el mensaje mostrado</t>
        </is>
      </c>
      <c r="I5" s="73" t="inlineStr">
        <is>
          <t>Referencia ya pagada</t>
        </is>
      </c>
      <c r="J5" s="73" t="inlineStr">
        <is>
          <t>El sistema indica que la referencia ya fue pagada y no permite cobrar de nuevo</t>
        </is>
      </c>
      <c r="K5" s="73" t="n"/>
      <c r="L5" s="73" t="inlineStr">
        <is>
          <t>Pendiente</t>
        </is>
      </c>
      <c r="M5" s="73" t="inlineStr">
        <is>
          <t>Muy comun: el contribuyente busca el link de nuevo para 'checar' que si pago
[Revision 29/09/2026] Pasos actualizados al flujo real (referencia / linea de captura)</t>
        </is>
      </c>
      <c r="N5" s="73" t="inlineStr">
        <is>
          <t>Automatizada</t>
        </is>
      </c>
    </row>
    <row r="6" ht="75" customHeight="1" s="32">
      <c r="A6" s="73" t="inlineStr">
        <is>
          <t>TC-BP-004</t>
        </is>
      </c>
      <c r="B6" s="73" t="inlineStr">
        <is>
          <t>01. Acceso con Referencia / Linea de Captura (inicio del alcance QA)</t>
        </is>
      </c>
      <c r="C6" s="73" t="inlineStr">
        <is>
          <t>Abrir el pago de la misma referencia en dos pestanas y pagar en una de ellas</t>
        </is>
      </c>
      <c r="D6" s="74" t="inlineStr">
        <is>
          <t>ESPECIAL</t>
        </is>
      </c>
      <c r="E6" s="75" t="inlineStr">
        <is>
          <t>Media</t>
        </is>
      </c>
      <c r="F6" s="73" t="inlineStr">
        <is>
          <t>Se cuenta con una referencia o linea de captura vigente y sin pagar del Gobierno de Puebla</t>
        </is>
      </c>
      <c r="G6" s="73" t="inlineStr">
        <is>
          <t>No - tarjeta 'Not challenge' (se aprueba sin reto)</t>
        </is>
      </c>
      <c r="H6" s="73" t="inlineStr">
        <is>
          <t>1. Pestana A: ingresar con la referencia y completar hasta el Paso 4 - Pago
2. Pestana B: ingresar con la misma referencia y completar hasta el Paso 4 - Pago
3. Pestana A: dar clic en 'Continuar' para pagar y esperar el resultado
4. Pestana B: dar clic en 'Continuar' para pagar
5. Revisar el resultado de la Pestana B</t>
        </is>
      </c>
      <c r="I6" s="73" t="inlineStr">
        <is>
          <t>Misma referencia abierta en 2 pestanas / VISA 4111 1111 1111 1111</t>
        </is>
      </c>
      <c r="J6" s="73" t="inlineStr">
        <is>
          <t>Solo se cobra una vez; la Pestana B muestra que la transaccion ya fue procesada</t>
        </is>
      </c>
      <c r="K6" s="73" t="n"/>
      <c r="L6" s="73" t="inlineStr">
        <is>
          <t>Pendiente</t>
        </is>
      </c>
      <c r="M6" s="73" t="inlineStr">
        <is>
          <t>[Revision 29/09/2026] Pasos actualizados al flujo real (referencia / linea de captura)</t>
        </is>
      </c>
      <c r="N6" s="73" t="inlineStr">
        <is>
          <t>Automatizada</t>
        </is>
      </c>
    </row>
    <row r="7" ht="75" customHeight="1" s="32">
      <c r="A7" s="73" t="inlineStr">
        <is>
          <t>TC-BP-005</t>
        </is>
      </c>
      <c r="B7" s="73" t="inlineStr">
        <is>
          <t>01. Acceso con Referencia / Linea de Captura (inicio del alcance QA)</t>
        </is>
      </c>
      <c r="C7" s="73" t="inlineStr">
        <is>
          <t>Dejar el formulario abierto sin interactuar: el token no debe expirar</t>
        </is>
      </c>
      <c r="D7" s="74" t="inlineStr">
        <is>
          <t>ESPECIAL</t>
        </is>
      </c>
      <c r="E7" s="75" t="inlineStr">
        <is>
          <t>Alta</t>
        </is>
      </c>
      <c r="F7" s="73" t="inlineStr">
        <is>
          <t>Se ingreso con una referencia o linea de captura vigente y se muestra el Paso 1 - Contacto</t>
        </is>
      </c>
      <c r="G7" s="73" t="inlineStr">
        <is>
          <t>N/A</t>
        </is>
      </c>
      <c r="H7" s="73" t="inlineStr">
        <is>
          <t>1. Ingresar con la referencia o linea de captura (hoja 'Flujo Real', pasos 1 a 5) hasta ver el Paso 1 - Contacto
2. No realizar ninguna accion durante 2 minutos o mas
3. Capturar los datos del Paso 1 y dar clic en 'Continuar'
4. Si el sistema indica que la referencia quedo en uso, revisar que el mensaje indique como solicitar su liberacion</t>
        </is>
      </c>
      <c r="I7" s="73" t="inlineStr">
        <is>
          <t>N/A - solo esperar sin interactuar</t>
        </is>
      </c>
      <c r="J7" s="73" t="inlineStr">
        <is>
          <t>El token NO expira por inactividad y el contribuyente puede continuar el pago. Si la referencia queda bloqueada, el sistema indica claramente que debe solicitar que la liberen; no se registra ningun cobro</t>
        </is>
      </c>
      <c r="K7" s="73" t="n"/>
      <c r="L7" s="73" t="inlineStr">
        <is>
          <t>Pendiente</t>
        </is>
      </c>
      <c r="M7" s="73" t="inlineStr">
        <is>
          <t>[Revision 29/09/2026] Comentario de revision: el token NO debe expirar; si la referencia queda en uso se debe solicitar su liberacion (reemplaza la regla anterior de generar un token nuevo).
Automatizacion: se vigila la pagina 120 s sin interactuar; si el token expira o el flujo se reinicia, el caso falla.</t>
        </is>
      </c>
      <c r="N7" s="73" t="inlineStr">
        <is>
          <t>Automatizada</t>
        </is>
      </c>
    </row>
    <row r="8" ht="15" customHeight="1" s="32">
      <c r="A8" s="73" t="inlineStr">
        <is>
          <t>TC-BP-051</t>
        </is>
      </c>
      <c r="B8" s="73" t="n"/>
      <c r="C8" s="73" t="n"/>
      <c r="D8" s="74" t="n"/>
      <c r="E8" s="75" t="n"/>
      <c r="F8" s="73" t="n"/>
      <c r="G8" s="73" t="n"/>
      <c r="H8" s="73" t="n"/>
      <c r="I8" s="73" t="n"/>
      <c r="J8" s="73" t="n"/>
      <c r="K8" s="73" t="n"/>
      <c r="L8" s="73" t="n"/>
      <c r="M8" s="73" t="n"/>
      <c r="N8" s="73" t="n"/>
    </row>
    <row r="9" ht="75" customHeight="1" s="32">
      <c r="A9" s="73" t="inlineStr">
        <is>
          <t>TC-BP-006</t>
        </is>
      </c>
      <c r="B9" s="73" t="inlineStr">
        <is>
          <t>02. Paso 1 - Datos de Contacto</t>
        </is>
      </c>
      <c r="C9" s="73" t="inlineStr">
        <is>
          <t>Flujo completo: llenar telefono y correo validos y continuar</t>
        </is>
      </c>
      <c r="D9" s="74" t="inlineStr">
        <is>
          <t>EXITO</t>
        </is>
      </c>
      <c r="E9" s="75" t="inlineStr">
        <is>
          <t>Alta</t>
        </is>
      </c>
      <c r="F9" s="73" t="inlineStr">
        <is>
          <t>Se ingreso con una referencia o linea de captura vigente y se muestra el Paso 1 - Contacto</t>
        </is>
      </c>
      <c r="G9" s="73" t="inlineStr">
        <is>
          <t>N/A</t>
        </is>
      </c>
      <c r="H9" s="73" t="inlineStr">
        <is>
          <t>1. Ingresar con la referencia o linea de captura (hoja 'Flujo Real', pasos 1 a 5) hasta ver el Paso 1 - Contacto
2. Capturar el telefono 5540076333
3. Capturar el correo santiago.tapia@memphis.mx
4. Dar clic en 'Continuar'</t>
        </is>
      </c>
      <c r="I9" s="73" t="inlineStr">
        <is>
          <t>Telefono: 5540076333 / Correo: santiago.tapia@memphis.mx</t>
        </is>
      </c>
      <c r="J9" s="73" t="inlineStr">
        <is>
          <t>El sistema avanza correctamente al Paso 2 - Direccion</t>
        </is>
      </c>
      <c r="K9" s="73" t="n"/>
      <c r="L9" s="73" t="inlineStr">
        <is>
          <t>Pendiente</t>
        </is>
      </c>
      <c r="M9" s="73" t="inlineStr">
        <is>
          <t>[Act. 29/09/2026] Actualizado con las pantallas reales
[Revision 29/09/2026] Pasos actualizados al flujo real (referencia / linea de captura)</t>
        </is>
      </c>
      <c r="N9" s="73" t="inlineStr">
        <is>
          <t>Automatizada</t>
        </is>
      </c>
    </row>
    <row r="10" ht="75" customHeight="1" s="32">
      <c r="A10" s="73" t="inlineStr">
        <is>
          <t>TC-BP-007</t>
        </is>
      </c>
      <c r="B10" s="73" t="inlineStr">
        <is>
          <t>02. Paso 1 - Datos de Contacto</t>
        </is>
      </c>
      <c r="C10" s="73" t="inlineStr">
        <is>
          <t>No ingresar ningun dato y dar clic en 'Continuar'</t>
        </is>
      </c>
      <c r="D10" s="74" t="inlineStr">
        <is>
          <t>ERROR</t>
        </is>
      </c>
      <c r="E10" s="75" t="inlineStr">
        <is>
          <t>Alta</t>
        </is>
      </c>
      <c r="F10" s="73" t="inlineStr">
        <is>
          <t>Se ingreso con una referencia o linea de captura vigente y se muestra el Paso 1 - Contacto</t>
        </is>
      </c>
      <c r="G10" s="73" t="inlineStr">
        <is>
          <t>N/A</t>
        </is>
      </c>
      <c r="H10" s="73" t="inlineStr">
        <is>
          <t>1. Ingresar con la referencia o linea de captura (hoja 'Flujo Real', pasos 1 a 5) hasta ver el Paso 1 - Contacto
2. Dejar telefono y correo vacios
3. Dar clic en 'Continuar'
4. Dar clic fuera del campo de correo y revisar el mensaje</t>
        </is>
      </c>
      <c r="I10" s="73" t="inlineStr">
        <is>
          <t>Formulario vacio</t>
        </is>
      </c>
      <c r="J10" s="73" t="inlineStr">
        <is>
          <t>El sistema no avanza; muestra 'Este campo es requerido' en el correo</t>
        </is>
      </c>
      <c r="K10" s="73" t="n"/>
      <c r="L10" s="73" t="inlineStr">
        <is>
          <t>Pendiente</t>
        </is>
      </c>
      <c r="M10" s="73" t="inlineStr">
        <is>
          <t>[Act. 29/09/2026] Actualizado con las pantallas reales
[Act. 29/09/2026] El telefono es opcional en la pantalla (ver TC-BP-052)
[Revision 29/09/2026] Pasos actualizados al flujo real (referencia / linea de captura)</t>
        </is>
      </c>
      <c r="N10" s="73" t="inlineStr">
        <is>
          <t>Automatizada</t>
        </is>
      </c>
    </row>
    <row r="11" ht="75" customHeight="1" s="32">
      <c r="A11" s="73" t="inlineStr">
        <is>
          <t>TC-BP-008</t>
        </is>
      </c>
      <c r="B11" s="73" t="inlineStr">
        <is>
          <t>02. Paso 1 - Datos de Contacto</t>
        </is>
      </c>
      <c r="C11" s="73" t="inlineStr">
        <is>
          <t>Ingresar solo el telefono y dejar el correo vacio</t>
        </is>
      </c>
      <c r="D11" s="74" t="inlineStr">
        <is>
          <t>ERROR</t>
        </is>
      </c>
      <c r="E11" s="75" t="inlineStr">
        <is>
          <t>Media</t>
        </is>
      </c>
      <c r="F11" s="73" t="inlineStr">
        <is>
          <t>Se ingreso con una referencia o linea de captura vigente y se muestra el Paso 1 - Contacto</t>
        </is>
      </c>
      <c r="G11" s="73" t="inlineStr">
        <is>
          <t>N/A</t>
        </is>
      </c>
      <c r="H11" s="73" t="inlineStr">
        <is>
          <t>1. Ingresar con la referencia o linea de captura (hoja 'Flujo Real', pasos 1 a 5) hasta ver el Paso 1 - Contacto
2. Capturar solo el telefono
3. Dejar el correo vacio
4. Dar clic en 'Continuar'</t>
        </is>
      </c>
      <c r="I11" s="73" t="inlineStr">
        <is>
          <t>Telefono valido, correo vacio</t>
        </is>
      </c>
      <c r="J11" s="73" t="inlineStr">
        <is>
          <t>El sistema no avanza; muestra mensaje de correo obligatorio</t>
        </is>
      </c>
      <c r="K11" s="73" t="n"/>
      <c r="L11" s="73" t="inlineStr">
        <is>
          <t>Pendiente</t>
        </is>
      </c>
      <c r="M11" s="73" t="inlineStr">
        <is>
          <t>[Revision 29/09/2026] Pasos actualizados al flujo real (referencia / linea de captura)</t>
        </is>
      </c>
      <c r="N11" s="73" t="inlineStr">
        <is>
          <t>Automatizada</t>
        </is>
      </c>
    </row>
    <row r="12" ht="75" customHeight="1" s="32">
      <c r="A12" s="73" t="inlineStr">
        <is>
          <t>TC-BP-009</t>
        </is>
      </c>
      <c r="B12" s="73" t="inlineStr">
        <is>
          <t>02. Paso 1 - Datos de Contacto</t>
        </is>
      </c>
      <c r="C12" s="73" t="inlineStr">
        <is>
          <t>Ingresar un correo con formato incorrecto (sin arroba o sin dominio)</t>
        </is>
      </c>
      <c r="D12" s="74" t="inlineStr">
        <is>
          <t>ERROR</t>
        </is>
      </c>
      <c r="E12" s="75" t="inlineStr">
        <is>
          <t>Media</t>
        </is>
      </c>
      <c r="F12" s="73" t="inlineStr">
        <is>
          <t>Se ingreso con una referencia o linea de captura vigente y se muestra el Paso 1 - Contacto</t>
        </is>
      </c>
      <c r="G12" s="73" t="inlineStr">
        <is>
          <t>N/A</t>
        </is>
      </c>
      <c r="H12" s="73" t="inlineStr">
        <is>
          <t>1. Ingresar con la referencia o linea de captura (hoja 'Flujo Real', pasos 1 a 5) hasta ver el Paso 1 - Contacto
2. Capturar un telefono valido
3. Escribir 'contribuyentecorreo.com' en el correo
4. Dar clic en 'Continuar'</t>
        </is>
      </c>
      <c r="I12" s="73" t="inlineStr">
        <is>
          <t>Correo: contribuyentecorreo.com</t>
        </is>
      </c>
      <c r="J12" s="73" t="inlineStr">
        <is>
          <t>El sistema muestra 'El campo email debe tener un formato de correo.' y no permite avanzar</t>
        </is>
      </c>
      <c r="K12" s="73" t="n"/>
      <c r="L12" s="73" t="inlineStr">
        <is>
          <t>Pendiente</t>
        </is>
      </c>
      <c r="M12" s="73" t="inlineStr">
        <is>
          <t>[Act. 29/09/2026] Actualizado con las pantallas reales
[Act. 29/09/2026] Ver TC-BP-053 para mas formatos invalidos
[Revision 29/09/2026] Pasos actualizados al flujo real (referencia / linea de captura)</t>
        </is>
      </c>
      <c r="N12" s="73" t="inlineStr">
        <is>
          <t>Automatizada</t>
        </is>
      </c>
    </row>
    <row r="13" ht="75" customHeight="1" s="32">
      <c r="A13" s="73" t="inlineStr">
        <is>
          <t>TC-BP-010</t>
        </is>
      </c>
      <c r="B13" s="73" t="inlineStr">
        <is>
          <t>02. Paso 1 - Datos de Contacto</t>
        </is>
      </c>
      <c r="C13" s="73" t="inlineStr">
        <is>
          <t>Ingresar un telefono incompleto (menos de 10 digitos)</t>
        </is>
      </c>
      <c r="D13" s="74" t="inlineStr">
        <is>
          <t>ERROR</t>
        </is>
      </c>
      <c r="E13" s="75" t="inlineStr">
        <is>
          <t>Media</t>
        </is>
      </c>
      <c r="F13" s="73" t="inlineStr">
        <is>
          <t>Se ingreso con una referencia o linea de captura vigente y se muestra el Paso 1 - Contacto</t>
        </is>
      </c>
      <c r="G13" s="73" t="inlineStr">
        <is>
          <t>N/A</t>
        </is>
      </c>
      <c r="H13" s="73" t="inlineStr">
        <is>
          <t>1. Ingresar con la referencia o linea de captura (hoja 'Flujo Real', pasos 1 a 5) hasta ver el Paso 1 - Contacto
2. Escribir '12345' en el telefono
3. Capturar un correo valido
4. Dar clic en 'Continuar'</t>
        </is>
      </c>
      <c r="I13" s="73" t="inlineStr">
        <is>
          <t>Telefono: 12345</t>
        </is>
      </c>
      <c r="J13" s="73" t="inlineStr">
        <is>
          <t>El sistema muestra 'El numero de telefono debe tener minimo 10 digitos' y no permite avanzar</t>
        </is>
      </c>
      <c r="K13" s="73" t="n"/>
      <c r="L13" s="73" t="inlineStr">
        <is>
          <t>Pendiente</t>
        </is>
      </c>
      <c r="M13" s="73" t="inlineStr">
        <is>
          <t>[Act. 29/09/2026] Actualizado con las pantallas reales
[Revision 29/09/2026] Pasos actualizados al flujo real (referencia / linea de captura)</t>
        </is>
      </c>
      <c r="N13" s="73" t="inlineStr">
        <is>
          <t>Automatizada</t>
        </is>
      </c>
    </row>
    <row r="14" ht="75" customHeight="1" s="32">
      <c r="A14" s="73" t="inlineStr">
        <is>
          <t>TC-BP-011</t>
        </is>
      </c>
      <c r="B14" s="73" t="inlineStr">
        <is>
          <t>02. Paso 1 - Datos de Contacto</t>
        </is>
      </c>
      <c r="C14" s="73" t="inlineStr">
        <is>
          <t>Ingresar letras en el campo de telefono</t>
        </is>
      </c>
      <c r="D14" s="74" t="inlineStr">
        <is>
          <t>ERROR</t>
        </is>
      </c>
      <c r="E14" s="75" t="inlineStr">
        <is>
          <t>Baja</t>
        </is>
      </c>
      <c r="F14" s="73" t="inlineStr">
        <is>
          <t>Se ingreso con una referencia o linea de captura vigente y se muestra el Paso 1 - Contacto</t>
        </is>
      </c>
      <c r="G14" s="73" t="inlineStr">
        <is>
          <t>N/A</t>
        </is>
      </c>
      <c r="H14" s="73" t="inlineStr">
        <is>
          <t>1. Ingresar con la referencia o linea de captura (hoja 'Flujo Real', pasos 1 a 5) hasta ver el Paso 1 - Contacto
2. Escribir 'abc123' en el telefono
3. Revisar lo que queda escrito en el campo
4. Dar clic en 'Continuar'</t>
        </is>
      </c>
      <c r="I14" s="73" t="inlineStr">
        <is>
          <t>Telefono: abc123</t>
        </is>
      </c>
      <c r="J14" s="73" t="inlineStr">
        <is>
          <t>El campo rechaza las letras o muestra un mensaje de error claro</t>
        </is>
      </c>
      <c r="K14" s="73" t="n"/>
      <c r="L14" s="73" t="inlineStr">
        <is>
          <t>Pendiente</t>
        </is>
      </c>
      <c r="M14" s="73" t="inlineStr">
        <is>
          <t>[Revision 29/09/2026] Pasos actualizados al flujo real (referencia / linea de captura)</t>
        </is>
      </c>
      <c r="N14" s="73" t="inlineStr">
        <is>
          <t>Automatizada</t>
        </is>
      </c>
    </row>
    <row r="15" ht="75" customHeight="1" s="32">
      <c r="A15" s="70" t="inlineStr">
        <is>
          <t>TC-BP-052</t>
        </is>
      </c>
      <c r="B15" s="70" t="inlineStr">
        <is>
          <t>02. Paso 1 - Datos de Contacto</t>
        </is>
      </c>
      <c r="C15" s="70" t="inlineStr">
        <is>
          <t>Continuar sin telefono (campo opcional) con un correo valido</t>
        </is>
      </c>
      <c r="D15" s="71" t="inlineStr">
        <is>
          <t>EXITO</t>
        </is>
      </c>
      <c r="E15" s="72" t="inlineStr">
        <is>
          <t>Alta</t>
        </is>
      </c>
      <c r="F15" s="70" t="inlineStr">
        <is>
          <t>Se ingreso con una referencia o linea de captura vigente y se muestra el Paso 1 - Contacto</t>
        </is>
      </c>
      <c r="G15" s="70" t="inlineStr">
        <is>
          <t>N/A</t>
        </is>
      </c>
      <c r="H15" s="70" t="inlineStr">
        <is>
          <t>1. Ingresar con la referencia o linea de captura (hoja 'Flujo Real', pasos 1 a 5) hasta ver el Paso 1 - Contacto
2. Dejar el telefono vacio
3. Capturar un correo valido
4. Dar clic en 'Continuar'</t>
        </is>
      </c>
      <c r="I15" s="70" t="inlineStr">
        <is>
          <t>Correo: santiago.tapia@memphis.mx</t>
        </is>
      </c>
      <c r="J15" s="70" t="inlineStr">
        <is>
          <t>El sistema avanza al Paso 2 - Direccion (el telefono no es obligatorio)</t>
        </is>
      </c>
      <c r="K15" s="70" t="n"/>
      <c r="L15" s="70" t="inlineStr">
        <is>
          <t>Pendiente</t>
        </is>
      </c>
      <c r="M15" s="70" t="inlineStr">
        <is>
          <t>[CASO NUEVO] [Revision 29/09/2026] Pasos actualizados al flujo real (referencia / linea de captura)</t>
        </is>
      </c>
      <c r="N15" s="70" t="inlineStr">
        <is>
          <t>Automatizada</t>
        </is>
      </c>
    </row>
    <row r="16" ht="75" customHeight="1" s="32">
      <c r="A16" s="70" t="inlineStr">
        <is>
          <t>TC-BP-053</t>
        </is>
      </c>
      <c r="B16" s="70" t="inlineStr">
        <is>
          <t>02. Paso 1 - Datos de Contacto</t>
        </is>
      </c>
      <c r="C16" s="70" t="inlineStr">
        <is>
          <t>Rechazar distintos formatos de correo invalido</t>
        </is>
      </c>
      <c r="D16" s="71" t="inlineStr">
        <is>
          <t>ERROR</t>
        </is>
      </c>
      <c r="E16" s="72" t="inlineStr">
        <is>
          <t>Alta</t>
        </is>
      </c>
      <c r="F16" s="70" t="inlineStr">
        <is>
          <t>Se ingreso con una referencia o linea de captura vigente y se muestra el Paso 1 - Contacto</t>
        </is>
      </c>
      <c r="G16" s="70" t="inlineStr">
        <is>
          <t>N/A</t>
        </is>
      </c>
      <c r="H16" s="70" t="inlineStr">
        <is>
          <t>1. Ingresar con la referencia o linea de captura (hoja 'Flujo Real', pasos 1 a 5) hasta ver el Paso 1 - Contacto
2. Capturar cada correo de la lista y dar clic en 'Continuar' (si avanza, regresar al Paso 1)</t>
        </is>
      </c>
      <c r="I16" s="70" t="inlineStr">
        <is>
          <t>sin arroba / sin dominio / sin extension / doble punto / espacio interno / sin usuario / extension de 1 letra</t>
        </is>
      </c>
      <c r="J16" s="70" t="inlineStr">
        <is>
          <t>Para cada correo se muestra 'El campo email debe tener un formato de correo.' y no se avanza</t>
        </is>
      </c>
      <c r="K16" s="70" t="n"/>
      <c r="L16" s="70" t="inlineStr">
        <is>
          <t>Pendiente</t>
        </is>
      </c>
      <c r="M16" s="70" t="inlineStr">
        <is>
          <t>[CASO NUEVO] Reportado por QA: se estan aceptando correos con cualquier formato
[Revision 29/09/2026] Pasos actualizados al flujo real (referencia / linea de captura)</t>
        </is>
      </c>
      <c r="N16" s="70" t="inlineStr">
        <is>
          <t>Automatizada</t>
        </is>
      </c>
    </row>
    <row r="17" ht="75" customHeight="1" s="32">
      <c r="A17" s="70" t="inlineStr">
        <is>
          <t>TC-BP-054</t>
        </is>
      </c>
      <c r="B17" s="70" t="inlineStr">
        <is>
          <t>02. Paso 1 - Datos de Contacto</t>
        </is>
      </c>
      <c r="C17" s="70" t="inlineStr">
        <is>
          <t>Capturar un telefono con mas de 13 digitos</t>
        </is>
      </c>
      <c r="D17" s="71" t="inlineStr">
        <is>
          <t>ERROR</t>
        </is>
      </c>
      <c r="E17" s="72" t="inlineStr">
        <is>
          <t>Baja</t>
        </is>
      </c>
      <c r="F17" s="70" t="inlineStr">
        <is>
          <t>Se ingreso con una referencia o linea de captura vigente y se muestra el Paso 1 - Contacto</t>
        </is>
      </c>
      <c r="G17" s="70" t="inlineStr">
        <is>
          <t>N/A</t>
        </is>
      </c>
      <c r="H17" s="70" t="inlineStr">
        <is>
          <t>1. Ingresar con la referencia o linea de captura (hoja 'Flujo Real', pasos 1 a 5) hasta ver el Paso 1 - Contacto
2. Escribir un telefono de 14 digitos
3. Revisar lo que queda escrito
4. Dar clic en 'Continuar'</t>
        </is>
      </c>
      <c r="I17" s="70" t="inlineStr">
        <is>
          <t>Telefono: 55400763331234</t>
        </is>
      </c>
      <c r="J17" s="70" t="inlineStr">
        <is>
          <t>El campo no permite capturar mas digitos de los permitidos; si los acepta, no avanza y el mensaje indica el maximo</t>
        </is>
      </c>
      <c r="K17" s="70" t="n"/>
      <c r="L17" s="70" t="inlineStr">
        <is>
          <t>Pendiente</t>
        </is>
      </c>
      <c r="M17" s="70" t="inlineStr">
        <is>
          <t>[CASO NUEVO] El mensaje actual dice 'debe tener minimo 10 digitos', que no aplica cuando sobran digitos
[Revision 29/09/2026] Pasos actualizados al flujo real (referencia / linea de captura)</t>
        </is>
      </c>
      <c r="N17" s="70" t="inlineStr">
        <is>
          <t>Automatizada</t>
        </is>
      </c>
    </row>
    <row r="18" ht="15" customHeight="1" s="32">
      <c r="A18" s="73" t="inlineStr">
        <is>
          <t>TC-BP-055</t>
        </is>
      </c>
      <c r="B18" s="73" t="n"/>
      <c r="C18" s="73" t="n"/>
      <c r="D18" s="74" t="n"/>
      <c r="E18" s="75" t="n"/>
      <c r="F18" s="73" t="n"/>
      <c r="G18" s="73" t="n"/>
      <c r="H18" s="73" t="n"/>
      <c r="I18" s="73" t="n"/>
      <c r="J18" s="73" t="n"/>
      <c r="K18" s="73" t="n"/>
      <c r="L18" s="73" t="n"/>
      <c r="M18" s="73" t="n"/>
      <c r="N18" s="73" t="n"/>
    </row>
    <row r="19" ht="75" customHeight="1" s="32">
      <c r="A19" s="73" t="inlineStr">
        <is>
          <t>TC-BP-012</t>
        </is>
      </c>
      <c r="B19" s="73" t="inlineStr">
        <is>
          <t>03. Paso 2 - Direccion</t>
        </is>
      </c>
      <c r="C19" s="73" t="inlineStr">
        <is>
          <t>Flujo completo: llenar la direccion completa y continuar</t>
        </is>
      </c>
      <c r="D19" s="74" t="inlineStr">
        <is>
          <t>EXITO</t>
        </is>
      </c>
      <c r="E19" s="75" t="inlineStr">
        <is>
          <t>Alta</t>
        </is>
      </c>
      <c r="F19" s="73" t="inlineStr">
        <is>
          <t>El Paso 1 - Contacto fue completado y confirmado correctamente</t>
        </is>
      </c>
      <c r="G19" s="73" t="inlineStr">
        <is>
          <t>N/A</t>
        </is>
      </c>
      <c r="H19" s="73" t="inlineStr">
        <is>
          <t>1. Ingresar con la referencia o linea de captura (hoja 'Flujo Real', pasos 1 a 5) hasta ver el Paso 1 - Contacto
2. Paso 1 - Contacto: capturar telefono y correo validos y dar clic en 'Continuar'
3. Paso 2: escribir Calle 'Reforma 245', Codigo Postal '16200' y Ciudad 'Cholula'
4. Seleccionar Pais 'Mexico' y Estado 'Puebla'
5. Dar clic en 'Continuar'</t>
        </is>
      </c>
      <c r="I19" s="73" t="inlineStr">
        <is>
          <t>Calle: Reforma 245 / CP: 16200 / Ciudad: Cholula / Pais: Mexico / Estado: Puebla</t>
        </is>
      </c>
      <c r="J19" s="73" t="inlineStr">
        <is>
          <t>El sistema avanza correctamente al Paso 3 - Datos de Tarjeta</t>
        </is>
      </c>
      <c r="K19" s="73" t="n"/>
      <c r="L19" s="73" t="inlineStr">
        <is>
          <t>Pendiente</t>
        </is>
      </c>
      <c r="M19" s="73" t="inlineStr">
        <is>
          <t>[Act. 29/09/2026] Actualizado con las pantallas reales
[Revision 29/09/2026] Pasos actualizados al flujo real (referencia / linea de captura)</t>
        </is>
      </c>
      <c r="N19" s="73" t="inlineStr">
        <is>
          <t>Automatizada</t>
        </is>
      </c>
    </row>
    <row r="20" ht="75" customHeight="1" s="32">
      <c r="A20" s="73" t="inlineStr">
        <is>
          <t>TC-BP-013</t>
        </is>
      </c>
      <c r="B20" s="73" t="inlineStr">
        <is>
          <t>03. Paso 2 - Direccion</t>
        </is>
      </c>
      <c r="C20" s="73" t="inlineStr">
        <is>
          <t>No ingresar ningun dato de direccion y dar clic en 'Continuar'</t>
        </is>
      </c>
      <c r="D20" s="74" t="inlineStr">
        <is>
          <t>ERROR</t>
        </is>
      </c>
      <c r="E20" s="75" t="inlineStr">
        <is>
          <t>Alta</t>
        </is>
      </c>
      <c r="F20" s="73" t="inlineStr">
        <is>
          <t>El Paso 1 - Contacto fue completado y confirmado correctamente</t>
        </is>
      </c>
      <c r="G20" s="73" t="inlineStr">
        <is>
          <t>N/A</t>
        </is>
      </c>
      <c r="H20" s="73" t="inlineStr">
        <is>
          <t>1. Ingresar con la referencia o linea de captura (hoja 'Flujo Real', pasos 1 a 5) hasta ver el Paso 1 - Contacto
2. Paso 1 - Contacto: capturar telefono y correo validos y dar clic en 'Continuar'
3. Paso 2: dejar calle, codigo postal, ciudad y estado vacios
4. Dar clic en 'Continuar'</t>
        </is>
      </c>
      <c r="I20" s="73" t="inlineStr">
        <is>
          <t>Formulario vacio</t>
        </is>
      </c>
      <c r="J20" s="73" t="inlineStr">
        <is>
          <t>El sistema no avanza y el navegador muestra el aviso 'Please select an item in the list.' en el campo Estado</t>
        </is>
      </c>
      <c r="K20" s="73" t="n"/>
      <c r="L20" s="73" t="inlineStr">
        <is>
          <t>Pendiente</t>
        </is>
      </c>
      <c r="M20" s="73" t="inlineStr">
        <is>
          <t>[Act. 29/09/2026] Actualizado con las pantallas reales
[Act. 29/09/2026] Observado: el Estado usa la validacion nativa del navegador ('Please select an item in the list.', en ingles) y bloquea los mensajes de la pagina
[Revision 29/09/2026] Pasos actualizados al flujo real (referencia / linea de captura)
[Revision 30/09/2026] Resultado esperado ajustado: el aviso 'Please select an item in the list.' es el comportamiento correcto</t>
        </is>
      </c>
      <c r="N20" s="73" t="inlineStr">
        <is>
          <t>Automatizada</t>
        </is>
      </c>
    </row>
    <row r="21" ht="75" customHeight="1" s="32">
      <c r="A21" s="73" t="inlineStr">
        <is>
          <t>TC-BP-014</t>
        </is>
      </c>
      <c r="B21" s="73" t="inlineStr">
        <is>
          <t>03. Paso 2 - Direccion</t>
        </is>
      </c>
      <c r="C21" s="73" t="inlineStr">
        <is>
          <t>Ingresar un codigo postal incompleto</t>
        </is>
      </c>
      <c r="D21" s="74" t="inlineStr">
        <is>
          <t>ERROR</t>
        </is>
      </c>
      <c r="E21" s="75" t="inlineStr">
        <is>
          <t>Media</t>
        </is>
      </c>
      <c r="F21" s="73" t="inlineStr">
        <is>
          <t>El Paso 1 - Contacto fue completado y confirmado correctamente</t>
        </is>
      </c>
      <c r="G21" s="73" t="inlineStr">
        <is>
          <t>N/A</t>
        </is>
      </c>
      <c r="H21" s="73" t="inlineStr">
        <is>
          <t>1. Ingresar con la referencia o linea de captura (hoja 'Flujo Real', pasos 1 a 5) hasta ver el Paso 1 - Contacto
2. Paso 1 - Contacto: capturar telefono y correo validos y dar clic en 'Continuar'
3. Paso 2: escribir '2000' en Codigo Postal y llenar el resto con datos validos
4. Dar clic en 'Continuar'</t>
        </is>
      </c>
      <c r="I21" s="73" t="inlineStr">
        <is>
          <t>CP: 2000</t>
        </is>
      </c>
      <c r="J21" s="73" t="inlineStr">
        <is>
          <t>El sistema muestra 'Debe ser un codigo postal valido.' y no permite avanzar</t>
        </is>
      </c>
      <c r="K21" s="73" t="n"/>
      <c r="L21" s="73" t="inlineStr">
        <is>
          <t>Pendiente</t>
        </is>
      </c>
      <c r="M21" s="73" t="inlineStr">
        <is>
          <t>[Act. 29/09/2026] Actualizado con las pantallas reales
[Revision 29/09/2026] Pasos actualizados al flujo real (referencia / linea de captura)</t>
        </is>
      </c>
      <c r="N21" s="73" t="inlineStr">
        <is>
          <t>Automatizada</t>
        </is>
      </c>
    </row>
    <row r="22" ht="75" customHeight="1" s="32">
      <c r="A22" s="73" t="inlineStr">
        <is>
          <t>TC-BP-015</t>
        </is>
      </c>
      <c r="B22" s="73" t="inlineStr">
        <is>
          <t>03. Paso 2 - Direccion</t>
        </is>
      </c>
      <c r="C22" s="73" t="inlineStr">
        <is>
          <t>Ingresar un codigo postal con menos digitos (123)</t>
        </is>
      </c>
      <c r="D22" s="74" t="inlineStr">
        <is>
          <t>ERROR</t>
        </is>
      </c>
      <c r="E22" s="75" t="inlineStr">
        <is>
          <t>Baja</t>
        </is>
      </c>
      <c r="F22" s="73" t="inlineStr">
        <is>
          <t>El Paso 1 - Contacto fue completado y confirmado correctamente</t>
        </is>
      </c>
      <c r="G22" s="73" t="inlineStr">
        <is>
          <t>N/A</t>
        </is>
      </c>
      <c r="H22" s="73" t="inlineStr">
        <is>
          <t>1. Ingresar con la referencia o linea de captura (hoja 'Flujo Real', pasos 1 a 5) hasta ver el Paso 1 - Contacto
2. Paso 1 - Contacto: capturar telefono y correo validos y dar clic en 'Continuar'
3. Paso 2: escribir '123' en Codigo Postal y llenar el resto con datos validos
4. Dar clic en 'Continuar'</t>
        </is>
      </c>
      <c r="I22" s="73" t="inlineStr">
        <is>
          <t>CP: 123</t>
        </is>
      </c>
      <c r="J22" s="73" t="inlineStr">
        <is>
          <t>El sistema muestra 'Debe ser un codigo postal valido.' y no permite avanzar</t>
        </is>
      </c>
      <c r="K22" s="73" t="n"/>
      <c r="L22" s="73" t="inlineStr">
        <is>
          <t>Pendiente</t>
        </is>
      </c>
      <c r="M22" s="73" t="inlineStr">
        <is>
          <t>[Act. 29/09/2026] El validador actual solo revisa el formato (5 digitos); no consulta un catalogo de codigos postales
[Revision 29/09/2026] Pasos actualizados al flujo real (referencia / linea de captura)
[Revision 30/09/2026] Caso ajustado: antes validaba el CP 00000 (catalogo); ahora valida un CP con menos digitos</t>
        </is>
      </c>
      <c r="N22" s="73" t="inlineStr">
        <is>
          <t>Automatizada</t>
        </is>
      </c>
    </row>
    <row r="23" ht="75" customHeight="1" s="32">
      <c r="A23" s="73" t="inlineStr">
        <is>
          <t>TC-BP-016</t>
        </is>
      </c>
      <c r="B23" s="73" t="inlineStr">
        <is>
          <t>03. Paso 2 - Direccion</t>
        </is>
      </c>
      <c r="C23" s="73" t="inlineStr">
        <is>
          <t>Regresar al Paso 1 - Contacto y verificar que los datos no se pierdan</t>
        </is>
      </c>
      <c r="D23" s="74" t="inlineStr">
        <is>
          <t>ESPECIAL</t>
        </is>
      </c>
      <c r="E23" s="75" t="inlineStr">
        <is>
          <t>Media</t>
        </is>
      </c>
      <c r="F23" s="73" t="inlineStr">
        <is>
          <t>Paso 2 - Direccion visible, con datos del Paso 1 ya capturados</t>
        </is>
      </c>
      <c r="G23" s="73" t="inlineStr">
        <is>
          <t>N/A</t>
        </is>
      </c>
      <c r="H23" s="73" t="inlineStr">
        <is>
          <t>1. Ingresar con la referencia o linea de captura (hoja 'Flujo Real', pasos 1 a 5) hasta ver el Paso 1 - Contacto
2. Paso 1 - Contacto: capturar telefono y correo validos y dar clic en 'Continuar'
3. En el Paso 2 dar clic en 'Regresar'
4. Revisar telefono y correo del Paso 1</t>
        </is>
      </c>
      <c r="I23" s="73" t="inlineStr">
        <is>
          <t>N/A</t>
        </is>
      </c>
      <c r="J23" s="73" t="inlineStr">
        <is>
          <t>Los datos ingresados anteriormente siguen ahi, no se borran</t>
        </is>
      </c>
      <c r="K23" s="73" t="n"/>
      <c r="L23" s="73" t="inlineStr">
        <is>
          <t>Pendiente</t>
        </is>
      </c>
      <c r="M23" s="73" t="inlineStr">
        <is>
          <t>[Act. 29/09/2026] Actualizado con las pantallas reales
[Revision 29/09/2026] Pasos actualizados al flujo real (referencia / linea de captura)</t>
        </is>
      </c>
      <c r="N23" s="73" t="inlineStr">
        <is>
          <t>Automatizada</t>
        </is>
      </c>
    </row>
    <row r="24" ht="75" customHeight="1" s="32">
      <c r="A24" s="70" t="inlineStr">
        <is>
          <t>TC-BP-056</t>
        </is>
      </c>
      <c r="B24" s="70" t="inlineStr">
        <is>
          <t>03. Paso 2 - Direccion</t>
        </is>
      </c>
      <c r="C24" s="70" t="inlineStr">
        <is>
          <t>Continuar sin seleccionar el Estado</t>
        </is>
      </c>
      <c r="D24" s="71" t="inlineStr">
        <is>
          <t>ERROR</t>
        </is>
      </c>
      <c r="E24" s="72" t="inlineStr">
        <is>
          <t>Alta</t>
        </is>
      </c>
      <c r="F24" s="70" t="inlineStr">
        <is>
          <t>El Paso 1 - Contacto fue completado y confirmado correctamente</t>
        </is>
      </c>
      <c r="G24" s="70" t="inlineStr">
        <is>
          <t>N/A</t>
        </is>
      </c>
      <c r="H24" s="70" t="inlineStr">
        <is>
          <t>1. Ingresar con la referencia o linea de captura (hoja 'Flujo Real', pasos 1 a 5) hasta ver el Paso 1 - Contacto
2. Paso 1 - Contacto: capturar telefono y correo validos y dar clic en 'Continuar'
3. Paso 2: capturar calle, codigo postal y ciudad validos
4. Dejar Estado en 'Selecciona una opcion'
5. Dar clic en 'Continuar'</t>
        </is>
      </c>
      <c r="I24" s="70" t="inlineStr">
        <is>
          <t>Estado sin seleccionar</t>
        </is>
      </c>
      <c r="J24" s="70" t="inlineStr">
        <is>
          <t>El sistema no avanza y el navegador muestra el aviso 'Please select an item in the list.' en el campo Estado</t>
        </is>
      </c>
      <c r="K24" s="70" t="n"/>
      <c r="L24" s="70" t="inlineStr">
        <is>
          <t>Pendiente</t>
        </is>
      </c>
      <c r="M24" s="70" t="inlineStr">
        <is>
          <t>[CASO NUEVO] [Act. 29/09/2026] Observado: el Estado usa la validacion nativa del navegador ('Please select an item in the list.', en ingles) y bloquea los mensajes de la pagina
[Revision 29/09/2026] Pasos actualizados al flujo real (referencia / linea de captura)
[Revision 30/09/2026] Resultado esperado ajustado: el aviso 'Please select an item in the list.' es el comportamiento correcto</t>
        </is>
      </c>
      <c r="N24" s="70" t="inlineStr">
        <is>
          <t>Automatizada</t>
        </is>
      </c>
    </row>
    <row r="25" ht="15" customHeight="1" s="32">
      <c r="A25" s="73" t="inlineStr">
        <is>
          <t>TC-BP-057</t>
        </is>
      </c>
      <c r="B25" s="73" t="n"/>
      <c r="C25" s="73" t="n"/>
      <c r="D25" s="74" t="n"/>
      <c r="E25" s="75" t="n"/>
      <c r="F25" s="73" t="n"/>
      <c r="G25" s="73" t="n"/>
      <c r="H25" s="73" t="n"/>
      <c r="I25" s="73" t="n"/>
      <c r="J25" s="73" t="n"/>
      <c r="K25" s="73" t="n"/>
      <c r="L25" s="73" t="n"/>
      <c r="M25" s="73" t="n"/>
      <c r="N25" s="73" t="n"/>
    </row>
    <row r="26" ht="75" customHeight="1" s="32">
      <c r="A26" s="70" t="inlineStr">
        <is>
          <t>TC-BP-058</t>
        </is>
      </c>
      <c r="B26" s="70" t="inlineStr">
        <is>
          <t>03. Paso 2 - Direccion</t>
        </is>
      </c>
      <c r="C26" s="70" t="inlineStr">
        <is>
          <t>Cambiar el pais y verificar que se reinicie el Estado</t>
        </is>
      </c>
      <c r="D26" s="71" t="inlineStr">
        <is>
          <t>ESPECIAL</t>
        </is>
      </c>
      <c r="E26" s="72" t="inlineStr">
        <is>
          <t>Baja</t>
        </is>
      </c>
      <c r="F26" s="70" t="inlineStr">
        <is>
          <t>El Paso 1 - Contacto fue completado y confirmado correctamente</t>
        </is>
      </c>
      <c r="G26" s="70" t="inlineStr">
        <is>
          <t>N/A</t>
        </is>
      </c>
      <c r="H26" s="70" t="inlineStr">
        <is>
          <t>1. Ingresar con la referencia o linea de captura (hoja 'Flujo Real', pasos 1 a 5) hasta ver el Paso 1 - Contacto
2. Paso 1 - Contacto: capturar telefono y correo validos y dar clic en 'Continuar'
3. Paso 2: seleccionar Mexico y Puebla
4. Cambiar el Pais
5. Revisar el campo Estado</t>
        </is>
      </c>
      <c r="I26" s="70" t="inlineStr">
        <is>
          <t>Pais distinto a Mexico</t>
        </is>
      </c>
      <c r="J26" s="70" t="inlineStr">
        <is>
          <t>El Estado se limpia y la lista corresponde al nuevo pais</t>
        </is>
      </c>
      <c r="K26" s="70" t="n"/>
      <c r="L26" s="70" t="inlineStr">
        <is>
          <t>Pendiente</t>
        </is>
      </c>
      <c r="M26" s="70" t="inlineStr">
        <is>
          <t>[CASO NUEVO] [Revision 29/09/2026] Pasos actualizados al flujo real (referencia / linea de captura)</t>
        </is>
      </c>
      <c r="N26" s="70" t="inlineStr">
        <is>
          <t>Automatizada</t>
        </is>
      </c>
    </row>
    <row r="27" ht="75" customHeight="1" s="32">
      <c r="A27" s="73" t="inlineStr">
        <is>
          <t>TC-BP-017</t>
        </is>
      </c>
      <c r="B27" s="73" t="inlineStr">
        <is>
          <t>04. Paso 3 - Datos de Tarjeta</t>
        </is>
      </c>
      <c r="C27" s="73" t="inlineStr">
        <is>
          <t>Flujo completo: pagar con una tarjeta valida</t>
        </is>
      </c>
      <c r="D27" s="74" t="inlineStr">
        <is>
          <t>EXITO</t>
        </is>
      </c>
      <c r="E27" s="75" t="inlineStr">
        <is>
          <t>Alta</t>
        </is>
      </c>
      <c r="F27" s="73" t="inlineStr">
        <is>
          <t>Los Pasos 1 (Contacto) y 2 (Direccion) fueron completados y confirmados correctamente</t>
        </is>
      </c>
      <c r="G27" s="73" t="inlineStr">
        <is>
          <t>No - tarjeta 'Not challenge' (se aprueba sin reto)</t>
        </is>
      </c>
      <c r="H27"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Nombre 'Juan', Apellido 'Hernandez', numero de tarjeta, vencimiento y CVV validos
5. Dar clic en 'Continuar'</t>
        </is>
      </c>
      <c r="I27" s="73" t="inlineStr">
        <is>
          <t>VISA 4111 1111 1111 1111 / vencimiento futuro (ej. 12/30) / CVV 123</t>
        </is>
      </c>
      <c r="J27" s="73" t="inlineStr">
        <is>
          <t>El sistema acepta los datos y muestra el Paso 4 - 'Revisa tu informacion antes de pagar'</t>
        </is>
      </c>
      <c r="K27" s="73" t="n"/>
      <c r="L27" s="73" t="inlineStr">
        <is>
          <t>Pendiente</t>
        </is>
      </c>
      <c r="M27" s="73" t="inlineStr">
        <is>
          <t>[Act. 29/09/2026] Actualizado con las pantallas reales
[Revision 29/09/2026] Pasos actualizados al flujo real (referencia / linea de captura)</t>
        </is>
      </c>
      <c r="N27" s="73" t="inlineStr">
        <is>
          <t>Automatizada</t>
        </is>
      </c>
    </row>
    <row r="28" ht="75" customHeight="1" s="32">
      <c r="A28" s="73" t="inlineStr">
        <is>
          <t>TC-BP-018</t>
        </is>
      </c>
      <c r="B28" s="73" t="inlineStr">
        <is>
          <t>04. Paso 3 - Datos de Tarjeta</t>
        </is>
      </c>
      <c r="C28" s="73" t="inlineStr">
        <is>
          <t>No ingresar ningun dato de tarjeta y dar clic en 'Pagar'</t>
        </is>
      </c>
      <c r="D28" s="74" t="inlineStr">
        <is>
          <t>ERROR</t>
        </is>
      </c>
      <c r="E28" s="75" t="inlineStr">
        <is>
          <t>Alta</t>
        </is>
      </c>
      <c r="F28" s="73" t="inlineStr">
        <is>
          <t>Los Pasos 1 (Contacto) y 2 (Direccion) fueron completados y confirmados correctamente</t>
        </is>
      </c>
      <c r="G28" s="73" t="inlineStr">
        <is>
          <t>No aplica - el pago no llega a procesarse</t>
        </is>
      </c>
      <c r="H28"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dejar todos los campos vacios
5. Dar clic en 'Continuar'</t>
        </is>
      </c>
      <c r="I28" s="73" t="inlineStr">
        <is>
          <t>Formulario vacio</t>
        </is>
      </c>
      <c r="J28" s="73" t="inlineStr">
        <is>
          <t>El sistema no avanza; muestra 'Este campo es requerido' en nombre, apellido, tarjeta, vencimiento y CVV</t>
        </is>
      </c>
      <c r="K28" s="73" t="n"/>
      <c r="L28" s="73" t="inlineStr">
        <is>
          <t>Pendiente</t>
        </is>
      </c>
      <c r="M28" s="73" t="inlineStr">
        <is>
          <t>[Act. 29/09/2026] Actualizado con las pantallas reales
[Revision 29/09/2026] Pasos actualizados al flujo real (referencia / linea de captura)</t>
        </is>
      </c>
      <c r="N28" s="73" t="inlineStr">
        <is>
          <t>Automatizada</t>
        </is>
      </c>
    </row>
    <row r="29" ht="75" customHeight="1" s="32">
      <c r="A29" s="73" t="inlineStr">
        <is>
          <t>TC-BP-019</t>
        </is>
      </c>
      <c r="B29" s="73" t="inlineStr">
        <is>
          <t>04. Paso 3 - Datos de Tarjeta</t>
        </is>
      </c>
      <c r="C29" s="73" t="inlineStr">
        <is>
          <t>Ingresar campos incompletos en los datos de la tarjeta</t>
        </is>
      </c>
      <c r="D29" s="74" t="inlineStr">
        <is>
          <t>ERROR</t>
        </is>
      </c>
      <c r="E29" s="75" t="inlineStr">
        <is>
          <t>Alta</t>
        </is>
      </c>
      <c r="F29" s="73" t="inlineStr">
        <is>
          <t>Los Pasos 1 (Contacto) y 2 (Direccion) fueron completados y confirmados correctamente</t>
        </is>
      </c>
      <c r="G29" s="73" t="inlineStr">
        <is>
          <t>No aplica - el pago no llega a procesarse</t>
        </is>
      </c>
      <c r="H29"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solo el numero de tarjeta
5. Dar clic en 'Continuar'</t>
        </is>
      </c>
      <c r="I29" s="73" t="inlineStr">
        <is>
          <t>Solo numero de tarjeta: VISA 4111 1111 1111 1111</t>
        </is>
      </c>
      <c r="J29" s="73" t="inlineStr">
        <is>
          <t>El sistema no avanza; muestra mensajes en nombre, apellido, vencimiento y CVV</t>
        </is>
      </c>
      <c r="K29" s="73" t="n"/>
      <c r="L29" s="73" t="inlineStr">
        <is>
          <t>Pendiente</t>
        </is>
      </c>
      <c r="M29" s="73" t="inlineStr">
        <is>
          <t>[Act. 29/09/2026] Actualizado con las pantallas reales
[Revision 29/09/2026] Pasos actualizados al flujo real (referencia / linea de captura)</t>
        </is>
      </c>
      <c r="N29" s="73" t="inlineStr">
        <is>
          <t>Automatizada</t>
        </is>
      </c>
    </row>
    <row r="30" ht="75" customHeight="1" s="32">
      <c r="A30" s="73" t="inlineStr">
        <is>
          <t>TC-BP-020</t>
        </is>
      </c>
      <c r="B30" s="73" t="inlineStr">
        <is>
          <t>04. Paso 3 - Datos de Tarjeta</t>
        </is>
      </c>
      <c r="C30" s="73" t="inlineStr">
        <is>
          <t>Ingresar un numero de tarjeta invalido/incorrecto</t>
        </is>
      </c>
      <c r="D30" s="74" t="inlineStr">
        <is>
          <t>ERROR</t>
        </is>
      </c>
      <c r="E30" s="75" t="inlineStr">
        <is>
          <t>Alta</t>
        </is>
      </c>
      <c r="F30" s="73" t="inlineStr">
        <is>
          <t>Los Pasos 1 (Contacto) y 2 (Direccion) fueron completados y confirmados correctamente</t>
        </is>
      </c>
      <c r="G30" s="73" t="inlineStr">
        <is>
          <t>No aplica - el pago no llega a procesarse</t>
        </is>
      </c>
      <c r="H3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la tarjeta '4111 1111 1111 1112' y el resto con datos validos
5. Dar clic en 'Continuar'</t>
        </is>
      </c>
      <c r="I30" s="73" t="inlineStr">
        <is>
          <t>Tarjeta: 4111 1111 1111 1112</t>
        </is>
      </c>
      <c r="J30" s="73" t="inlineStr">
        <is>
          <t>El sistema muestra un mensaje de 'numero de tarjeta invalido' antes de intentar procesar el pago</t>
        </is>
      </c>
      <c r="K30" s="73" t="n"/>
      <c r="L30" s="73" t="inlineStr">
        <is>
          <t>Pendiente</t>
        </is>
      </c>
      <c r="M30" s="73" t="inlineStr">
        <is>
          <t>[Act. 29/09/2026] El formulario solo valida la cantidad de digitos (15 o 16), no el digito verificador (Luhn)
[Revision 29/09/2026] Pasos actualizados al flujo real (referencia / linea de captura)</t>
        </is>
      </c>
      <c r="N30" s="73" t="inlineStr">
        <is>
          <t>Automatizada</t>
        </is>
      </c>
    </row>
    <row r="31" ht="75" customHeight="1" s="32">
      <c r="A31" s="73" t="inlineStr">
        <is>
          <t>TC-BP-021</t>
        </is>
      </c>
      <c r="B31" s="73" t="inlineStr">
        <is>
          <t>04. Paso 3 - Datos de Tarjeta</t>
        </is>
      </c>
      <c r="C31" s="73" t="inlineStr">
        <is>
          <t>Ingresar una tarjeta con fecha de vencimiento pasada</t>
        </is>
      </c>
      <c r="D31" s="74" t="inlineStr">
        <is>
          <t>ERROR</t>
        </is>
      </c>
      <c r="E31" s="75" t="inlineStr">
        <is>
          <t>Alta</t>
        </is>
      </c>
      <c r="F31" s="73" t="inlineStr">
        <is>
          <t>Los Pasos 1 (Contacto) y 2 (Direccion) fueron completados y confirmados correctamente</t>
        </is>
      </c>
      <c r="G31" s="73" t="inlineStr">
        <is>
          <t>No aplica - el pago no llega a procesarse</t>
        </is>
      </c>
      <c r="H31"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vencimiento '01/20' y el resto con datos validos
5. Dar clic en 'Continuar'</t>
        </is>
      </c>
      <c r="I31" s="73" t="inlineStr">
        <is>
          <t>VISA 4111 1111 1111 1111 / Vigencia: 01/20</t>
        </is>
      </c>
      <c r="J31" s="73" t="inlineStr">
        <is>
          <t>El sistema muestra 'Fecha de vencimiento invalida' y no permite continuar</t>
        </is>
      </c>
      <c r="K31" s="73" t="n"/>
      <c r="L31" s="73" t="inlineStr">
        <is>
          <t>Pendiente</t>
        </is>
      </c>
      <c r="M31" s="73" t="inlineStr">
        <is>
          <t>[Act. 29/09/2026] Actualizado con las pantallas reales
[Revision 29/09/2026] Pasos actualizados al flujo real (referencia / linea de captura)</t>
        </is>
      </c>
      <c r="N31" s="73" t="inlineStr">
        <is>
          <t>Automatizada</t>
        </is>
      </c>
    </row>
    <row r="32" ht="75" customHeight="1" s="32">
      <c r="A32" s="73" t="inlineStr">
        <is>
          <t>TC-BP-022</t>
        </is>
      </c>
      <c r="B32" s="73" t="inlineStr">
        <is>
          <t>04. Paso 3 - Datos de Tarjeta</t>
        </is>
      </c>
      <c r="C32" s="73" t="inlineStr">
        <is>
          <t>Ingresar CVV incorrecto o incompleto</t>
        </is>
      </c>
      <c r="D32" s="74" t="inlineStr">
        <is>
          <t>ERROR</t>
        </is>
      </c>
      <c r="E32" s="75" t="inlineStr">
        <is>
          <t>Media</t>
        </is>
      </c>
      <c r="F32" s="73" t="inlineStr">
        <is>
          <t>Los Pasos 1 (Contacto) y 2 (Direccion) fueron completados y confirmados correctamente</t>
        </is>
      </c>
      <c r="G32" s="73" t="inlineStr">
        <is>
          <t>No aplica - el pago no llega a procesarse</t>
        </is>
      </c>
      <c r="H32"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CVV '12' y el resto con datos validos
5. Dar clic en 'Continuar'</t>
        </is>
      </c>
      <c r="I32" s="73" t="inlineStr">
        <is>
          <t>VISA 4111 1111 1111 1111 / CVV: 12</t>
        </is>
      </c>
      <c r="J32" s="73" t="inlineStr">
        <is>
          <t>El sistema muestra 'El CVV debe tener 3 digitos' y no permite continuar</t>
        </is>
      </c>
      <c r="K32" s="73" t="n"/>
      <c r="L32" s="73" t="inlineStr">
        <is>
          <t>Pendiente</t>
        </is>
      </c>
      <c r="M32" s="73" t="inlineStr">
        <is>
          <t>[Act. 29/09/2026] Actualizado con las pantallas reales
[Revision 29/09/2026] Pasos actualizados al flujo real (referencia / linea de captura)</t>
        </is>
      </c>
      <c r="N32" s="73" t="inlineStr">
        <is>
          <t>Automatizada</t>
        </is>
      </c>
    </row>
    <row r="33" ht="120" customHeight="1" s="32">
      <c r="A33" s="73" t="inlineStr">
        <is>
          <t>TC-BP-023</t>
        </is>
      </c>
      <c r="B33" s="73" t="inlineStr">
        <is>
          <t>04. Paso 3 - Datos de Tarjeta</t>
        </is>
      </c>
      <c r="C33" s="73" t="inlineStr">
        <is>
          <t>Capturar un codigo incorrecto en el reto 3D Secure (tarjeta 'Challenge')</t>
        </is>
      </c>
      <c r="D33" s="74" t="inlineStr">
        <is>
          <t>ERROR</t>
        </is>
      </c>
      <c r="E33" s="75" t="inlineStr">
        <is>
          <t>Alta</t>
        </is>
      </c>
      <c r="F33" s="73" t="inlineStr">
        <is>
          <t>Datos de tarjeta validos capturados y enviados; el banco emisor solicita autenticacion (3D Secure)</t>
        </is>
      </c>
      <c r="G33" s="73" t="inlineStr">
        <is>
          <t>Si - tarjeta 'Challenge' (el banco pide un codigo)</t>
        </is>
      </c>
      <c r="H33"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En la pagina del banco (3D Secure) verificar si el reto solicita NIP, clave o codigo
7. Si lo solicita, capturar uno incorrecto
8. Revisar el resultado y el aviso emergente</t>
        </is>
      </c>
      <c r="I33" s="73" t="inlineStr">
        <is>
          <t>VISA 4110 7600 0000 0032 / vencimiento futuro (ej. 12/30) / CVV 123 / codigo del reto incorrecto</t>
        </is>
      </c>
      <c r="J33" s="73" t="inlineStr">
        <is>
          <t>El pago se rechaza con un mensaje claro y aviso emergente; se permite reintentar</t>
        </is>
      </c>
      <c r="K33" s="73" t="n"/>
      <c r="L33" s="73" t="inlineStr">
        <is>
          <t>Pendiente</t>
        </is>
      </c>
      <c r="M33" s="76" t="inlineStr">
        <is>
          <t>[Revision 29/09/2026] Por validar: confirmar si el banco efectivamente solicitara NIP/clave en el 3D Secure; si no lo solicita, marcar 'No Aplica'
[Revision 29/09/2026] Tarjeta de prueba 'Challenge' VISA 4110 7600 0000 0032 (ver hoja 'Tarjetas 3DS')</t>
        </is>
      </c>
      <c r="N33" s="73" t="inlineStr">
        <is>
          <t>Automatizada</t>
        </is>
      </c>
    </row>
    <row r="34" ht="90" customHeight="1" s="32">
      <c r="A34" s="73" t="inlineStr">
        <is>
          <t>TC-BP-024</t>
        </is>
      </c>
      <c r="B34" s="73" t="inlineStr">
        <is>
          <t>04. Paso 3 - Datos de Tarjeta</t>
        </is>
      </c>
      <c r="C34" s="73" t="inlineStr">
        <is>
          <t>Verificar que el numero de tarjeta se oculte mientras se escribe</t>
        </is>
      </c>
      <c r="D34" s="74" t="inlineStr">
        <is>
          <t>EXITO</t>
        </is>
      </c>
      <c r="E34" s="75" t="inlineStr">
        <is>
          <t>Baja</t>
        </is>
      </c>
      <c r="F34" s="73" t="inlineStr">
        <is>
          <t>Los Pasos 1 (Contacto) y 2 (Direccion) fueron completados y confirmados correctamente</t>
        </is>
      </c>
      <c r="G34" s="73" t="inlineStr">
        <is>
          <t>N/A</t>
        </is>
      </c>
      <c r="H34"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el numero de tarjeta y observar como se muestra
5. Dar clic en 'Continuar'
6. Paso 4: revisar como se muestra la tarjeta en el resumen</t>
        </is>
      </c>
      <c r="I34" s="73" t="inlineStr">
        <is>
          <t>VISA 4111 1111 1111 1111</t>
        </is>
      </c>
      <c r="J34" s="73" t="inlineStr">
        <is>
          <t>Los digitos se ocultan mientras se escriben y en el Paso 4 solo se muestran los ultimos 4 (•••• 1234)</t>
        </is>
      </c>
      <c r="K34" s="73" t="n"/>
      <c r="L34" s="73" t="inlineStr">
        <is>
          <t>Pendiente</t>
        </is>
      </c>
      <c r="M34" s="73" t="inlineStr">
        <is>
          <t>[Act. 29/09/2026] Actualizado con las pantallas reales
[Act. 29/09/2026] Observado: el campo muestra el numero completo mientras se escribe; el resumen del Paso 4 si lo enmascara
[Revision 29/09/2026] Pasos actualizados al flujo real (referencia / linea de captura)</t>
        </is>
      </c>
      <c r="N34" s="73" t="inlineStr">
        <is>
          <t>Automatizada</t>
        </is>
      </c>
    </row>
    <row r="35" ht="75" customHeight="1" s="32">
      <c r="A35" s="70" t="inlineStr">
        <is>
          <t>TC-BP-059</t>
        </is>
      </c>
      <c r="B35" s="70" t="inlineStr">
        <is>
          <t>04. Paso 3 - Datos de Tarjeta</t>
        </is>
      </c>
      <c r="C35" s="70" t="inlineStr">
        <is>
          <t>Capturar un apellido compuesto (con espacio): solo se permite un apellido</t>
        </is>
      </c>
      <c r="D35" s="71" t="inlineStr">
        <is>
          <t>ESPECIAL</t>
        </is>
      </c>
      <c r="E35" s="72" t="inlineStr">
        <is>
          <t>Alta</t>
        </is>
      </c>
      <c r="F35" s="70" t="inlineStr">
        <is>
          <t>Los Pasos 1 (Contacto) y 2 (Direccion) fueron completados y confirmados correctamente</t>
        </is>
      </c>
      <c r="G35" s="70" t="inlineStr">
        <is>
          <t>N/A</t>
        </is>
      </c>
      <c r="H35"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'Juan' en Nombre y 'Pérez López' en Apellido
5. Llenar el resto con datos validos y dar clic en 'Continuar'</t>
        </is>
      </c>
      <c r="I35" s="70" t="inlineStr">
        <is>
          <t>Nombre: Juan / Apellido: Pérez López</t>
        </is>
      </c>
      <c r="J35" s="70" t="inlineStr">
        <is>
          <t>El sistema no avanza y muestra 'Solo se permiten letras con acentos' en Apellido: solo se permite un apellido</t>
        </is>
      </c>
      <c r="K35" s="70" t="n"/>
      <c r="L35" s="70" t="inlineStr">
        <is>
          <t>Pendiente</t>
        </is>
      </c>
      <c r="M35" s="70" t="inlineStr">
        <is>
          <t>[CASO NUEVO] La validacion actual no permite espacios: el propio ejemplo 'Perez Lopez' marca error
[Revision 29/09/2026] Pasos actualizados al flujo real (referencia / linea de captura)
[Revision 30/09/2026] Resultado esperado ajustado: el mensaje 'Solo se permiten letras con acentos' indica que la prueba es exitosa (un solo apellido)</t>
        </is>
      </c>
      <c r="N35" s="70" t="inlineStr">
        <is>
          <t>Automatizada</t>
        </is>
      </c>
    </row>
    <row r="36" ht="75" customHeight="1" s="32">
      <c r="A36" s="70" t="inlineStr">
        <is>
          <t>TC-BP-060</t>
        </is>
      </c>
      <c r="B36" s="70" t="inlineStr">
        <is>
          <t>04. Paso 3 - Datos de Tarjeta</t>
        </is>
      </c>
      <c r="C36" s="70" t="inlineStr">
        <is>
          <t>Capturar numeros o simbolos en nombre y apellido</t>
        </is>
      </c>
      <c r="D36" s="71" t="inlineStr">
        <is>
          <t>ERROR</t>
        </is>
      </c>
      <c r="E36" s="72" t="inlineStr">
        <is>
          <t>Media</t>
        </is>
      </c>
      <c r="F36" s="70" t="inlineStr">
        <is>
          <t>Los Pasos 1 (Contacto) y 2 (Direccion) fueron completados y confirmados correctamente</t>
        </is>
      </c>
      <c r="G36" s="70" t="inlineStr">
        <is>
          <t>N/A</t>
        </is>
      </c>
      <c r="H36"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'Juan2' en Nombre
5. Revisar el valor que queda y el mensaje</t>
        </is>
      </c>
      <c r="I36" s="70" t="inlineStr">
        <is>
          <t>Nombre: Juan2</t>
        </is>
      </c>
      <c r="J36" s="70" t="inlineStr">
        <is>
          <t>El campo no acepta numeros ni simbolos (los quita o muestra 'Solo se permiten letras con acentos')</t>
        </is>
      </c>
      <c r="K36" s="70" t="n"/>
      <c r="L36" s="70" t="inlineStr">
        <is>
          <t>Pendiente</t>
        </is>
      </c>
      <c r="M36" s="70" t="inlineStr">
        <is>
          <t>[CASO NUEVO] [Revision 29/09/2026] Pasos actualizados al flujo real (referencia / linea de captura)</t>
        </is>
      </c>
      <c r="N36" s="70" t="inlineStr">
        <is>
          <t>Automatizada</t>
        </is>
      </c>
    </row>
    <row r="37" ht="75" customHeight="1" s="32">
      <c r="A37" s="70" t="inlineStr">
        <is>
          <t>TC-BP-061</t>
        </is>
      </c>
      <c r="B37" s="70" t="inlineStr">
        <is>
          <t>04. Paso 3 - Datos de Tarjeta</t>
        </is>
      </c>
      <c r="C37" s="70" t="inlineStr">
        <is>
          <t>Capturar un numero de tarjeta con menos de 15 digitos</t>
        </is>
      </c>
      <c r="D37" s="71" t="inlineStr">
        <is>
          <t>ERROR</t>
        </is>
      </c>
      <c r="E37" s="72" t="inlineStr">
        <is>
          <t>Alta</t>
        </is>
      </c>
      <c r="F37" s="70" t="inlineStr">
        <is>
          <t>Los Pasos 1 (Contacto) y 2 (Direccion) fueron completados y confirmados correctamente</t>
        </is>
      </c>
      <c r="G37" s="70" t="inlineStr">
        <is>
          <t>No aplica - el pago no llega a procesarse</t>
        </is>
      </c>
      <c r="H3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12 digitos en Numero de Tarjeta y el resto valido
5. Dar clic en 'Continuar'</t>
        </is>
      </c>
      <c r="I37" s="70" t="inlineStr">
        <is>
          <t>Tarjeta: 411111111111</t>
        </is>
      </c>
      <c r="J37" s="70" t="inlineStr">
        <is>
          <t>Se muestra 'La tarjeta debe tener 15 o 16 digitos' y no se avanza</t>
        </is>
      </c>
      <c r="K37" s="70" t="n"/>
      <c r="L37" s="70" t="inlineStr">
        <is>
          <t>Pendiente</t>
        </is>
      </c>
      <c r="M37" s="70" t="inlineStr">
        <is>
          <t>[CASO NUEVO] [Revision 29/09/2026] Pasos actualizados al flujo real (referencia / linea de captura)</t>
        </is>
      </c>
      <c r="N37" s="70" t="inlineStr">
        <is>
          <t>Automatizada</t>
        </is>
      </c>
    </row>
    <row r="38" ht="75" customHeight="1" s="32">
      <c r="A38" s="70" t="inlineStr">
        <is>
          <t>TC-BP-062</t>
        </is>
      </c>
      <c r="B38" s="70" t="inlineStr">
        <is>
          <t>04. Paso 3 - Datos de Tarjeta</t>
        </is>
      </c>
      <c r="C38" s="70" t="inlineStr">
        <is>
          <t>Capturar un vencimiento con mes invalido o incompleto</t>
        </is>
      </c>
      <c r="D38" s="71" t="inlineStr">
        <is>
          <t>ERROR</t>
        </is>
      </c>
      <c r="E38" s="72" t="inlineStr">
        <is>
          <t>Media</t>
        </is>
      </c>
      <c r="F38" s="70" t="inlineStr">
        <is>
          <t>Los Pasos 1 (Contacto) y 2 (Direccion) fueron completados y confirmados correctamente</t>
        </is>
      </c>
      <c r="G38" s="70" t="inlineStr">
        <is>
          <t>No aplica - el pago no llega a procesarse</t>
        </is>
      </c>
      <c r="H38"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'13/29' en Vencimiento y dar clic en 'Continuar'
5. Escribir '05/2' en Vencimiento y dar clic en 'Continuar'</t>
        </is>
      </c>
      <c r="I38" s="70" t="inlineStr">
        <is>
          <t>Vencimiento: 13/29 y 05/2</t>
        </is>
      </c>
      <c r="J38" s="70" t="inlineStr">
        <is>
          <t>Se muestra 'Fecha de vencimiento invalida' para 13/29 y 'Debe tener 4 digitos' para 05/2</t>
        </is>
      </c>
      <c r="K38" s="70" t="n"/>
      <c r="L38" s="70" t="inlineStr">
        <is>
          <t>Pendiente</t>
        </is>
      </c>
      <c r="M38" s="70" t="inlineStr">
        <is>
          <t>[CASO NUEVO] [Revision 29/09/2026] Pasos actualizados al flujo real (referencia / linea de captura)</t>
        </is>
      </c>
      <c r="N38" s="70" t="inlineStr">
        <is>
          <t>Automatizada</t>
        </is>
      </c>
    </row>
    <row r="39" ht="75" customHeight="1" s="32">
      <c r="A39" s="70" t="inlineStr">
        <is>
          <t>TC-BP-063</t>
        </is>
      </c>
      <c r="B39" s="70" t="inlineStr">
        <is>
          <t>04. Paso 3 - Datos de Tarjeta</t>
        </is>
      </c>
      <c r="C39" s="70" t="inlineStr">
        <is>
          <t>Verificar que el CVV se oculte y acepte maximo 3 digitos</t>
        </is>
      </c>
      <c r="D39" s="71" t="inlineStr">
        <is>
          <t>EXITO</t>
        </is>
      </c>
      <c r="E39" s="72" t="inlineStr">
        <is>
          <t>Baja</t>
        </is>
      </c>
      <c r="F39" s="70" t="inlineStr">
        <is>
          <t>Los Pasos 1 (Contacto) y 2 (Direccion) fueron completados y confirmados correctamente</t>
        </is>
      </c>
      <c r="G39" s="70" t="inlineStr">
        <is>
          <t>N/A</t>
        </is>
      </c>
      <c r="H39"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4 digitos en CVV
5. Revisar como se muestra y cuantos digitos quedan</t>
        </is>
      </c>
      <c r="I39" s="70" t="inlineStr">
        <is>
          <t>CVV: 1234</t>
        </is>
      </c>
      <c r="J39" s="70" t="inlineStr">
        <is>
          <t>El CVV se muestra oculto (puntos) y solo conserva 3 digitos</t>
        </is>
      </c>
      <c r="K39" s="70" t="n"/>
      <c r="L39" s="70" t="inlineStr">
        <is>
          <t>Pendiente</t>
        </is>
      </c>
      <c r="M39" s="70" t="inlineStr">
        <is>
          <t>[CASO NUEVO] Nota: se aceptan tarjetas de 15 digitos (AMEX) pero el CVV solo permite 3; AMEX usa 4
[Revision 29/09/2026] Pasos actualizados al flujo real (referencia / linea de captura)</t>
        </is>
      </c>
      <c r="N39" s="70" t="inlineStr">
        <is>
          <t>Automatizada</t>
        </is>
      </c>
    </row>
    <row r="40" ht="120" customHeight="1" s="32">
      <c r="A40" s="73" t="inlineStr">
        <is>
          <t>TC-BP-025</t>
        </is>
      </c>
      <c r="B40" s="73" t="inlineStr">
        <is>
          <t>05. Procesamiento del Pago y Autenticacion del Banco (3D Secure)</t>
        </is>
      </c>
      <c r="C40" s="73" t="inlineStr">
        <is>
          <t>Pago exitoso sin reto de autenticacion (tarjeta 'Not challenge')</t>
        </is>
      </c>
      <c r="D40" s="74" t="inlineStr">
        <is>
          <t>EXITO</t>
        </is>
      </c>
      <c r="E40" s="75" t="inlineStr">
        <is>
          <t>Alta</t>
        </is>
      </c>
      <c r="F40" s="73" t="inlineStr">
        <is>
          <t>Datos de tarjeta validos capturados y enviados a procesar</t>
        </is>
      </c>
      <c r="G40" s="73" t="inlineStr">
        <is>
          <t>No - tarjeta 'Not challenge' (se aprueba sin reto)</t>
        </is>
      </c>
      <c r="H4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Verificar que no se abra la pagina del banco (sin 3D Secure)
7. Revisar el resultado
8. (Manual) Ingresar a Citeling y verificar que el pago aparezca con la referencia, importe, autorizacion, fecha y tipo de pago</t>
        </is>
      </c>
      <c r="I40" s="73" t="inlineStr">
        <is>
          <t>VISA 4111 1111 1111 1111 / vencimiento futuro (ej. 12/30) / CVV 123 (alterna: MasterCard 5180 3000 0000 0005)</t>
        </is>
      </c>
      <c r="J40" s="73" t="inlineStr">
        <is>
          <t>El pago se aprueba sin pedir codigo al usuario (si hay redireccion al banco, regresa sola), se muestra 'Transaccion aprobada' y el pago se refleja en Citeling</t>
        </is>
      </c>
      <c r="K40" s="73" t="n"/>
      <c r="L40" s="73" t="inlineStr">
        <is>
          <t>Pendiente</t>
        </is>
      </c>
      <c r="M40" s="73" t="inlineStr">
        <is>
          <t>[Revision 29/09/2026] Pasos actualizados al flujo real (referencia / linea de captura)</t>
        </is>
      </c>
      <c r="N40" s="73" t="inlineStr">
        <is>
          <t>Mixta (automatizada + Citeling manual)</t>
        </is>
      </c>
    </row>
    <row r="41" ht="120" customHeight="1" s="32">
      <c r="A41" s="73" t="inlineStr">
        <is>
          <t>TC-BP-026</t>
        </is>
      </c>
      <c r="B41" s="73" t="inlineStr">
        <is>
          <t>05. Procesamiento del Pago y Autenticacion del Banco (3D Secure)</t>
        </is>
      </c>
      <c r="C41" s="73" t="inlineStr">
        <is>
          <t>Pago exitoso completando el reto 3D Secure (tarjeta 'Challenge')</t>
        </is>
      </c>
      <c r="D41" s="74" t="inlineStr">
        <is>
          <t>EXITO</t>
        </is>
      </c>
      <c r="E41" s="75" t="inlineStr">
        <is>
          <t>Alta</t>
        </is>
      </c>
      <c r="F41" s="73" t="inlineStr">
        <is>
          <t>Datos de tarjeta validos capturados y enviados a procesar</t>
        </is>
      </c>
      <c r="G41" s="73" t="inlineStr">
        <is>
          <t>Si - tarjeta 'Challenge' (el banco pide un codigo)</t>
        </is>
      </c>
      <c r="H41"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En la pagina del banco capturar el codigo del reto 3D Secure
7. Verificar que regrese al Boton de Pago y revisar el resultado
8. (Manual) Ingresar a Citeling y verificar que el pago aparezca con la referencia, importe, autorizacion, fecha y tipo de pago</t>
        </is>
      </c>
      <c r="I41" s="73" t="inlineStr">
        <is>
          <t>VISA 4110 7600 0000 0008 / vencimiento futuro (ej. 12/30) / CVV 123 (alternas: VISA 4110 7600 0000 0032, MasterCard 5180 3000 0000 0047)</t>
        </is>
      </c>
      <c r="J41" s="73" t="inlineStr">
        <is>
          <t>El usuario regresa al Boton de Pago, se muestra 'Transaccion aprobada' y el pago se refleja en Citeling</t>
        </is>
      </c>
      <c r="K41" s="73" t="n"/>
      <c r="L41" s="73" t="inlineStr">
        <is>
          <t>Pendiente</t>
        </is>
      </c>
      <c r="M41" s="73" t="inlineStr">
        <is>
          <t>[Act. 29/09/2026] El 3D Secure es una redireccion de pagina completa al sitio del banco (no una ventana emergente)
[Revision 29/09/2026] Pasos actualizados al flujo real (referencia / linea de captura)</t>
        </is>
      </c>
      <c r="N41" s="73" t="inlineStr">
        <is>
          <t>Mixta (automatizada + Citeling manual)</t>
        </is>
      </c>
    </row>
    <row r="42" ht="105" customHeight="1" s="32">
      <c r="A42" s="73" t="inlineStr">
        <is>
          <t>TC-BP-027</t>
        </is>
      </c>
      <c r="B42" s="73" t="inlineStr">
        <is>
          <t>05. Procesamiento del Pago y Autenticacion del Banco (3D Secure)</t>
        </is>
      </c>
      <c r="C42" s="73" t="inlineStr">
        <is>
          <t>Cancelar o cerrar la ventana de verificacion del banco sin completarla</t>
        </is>
      </c>
      <c r="D42" s="74" t="inlineStr">
        <is>
          <t>ESPECIAL</t>
        </is>
      </c>
      <c r="E42" s="75" t="inlineStr">
        <is>
          <t>Alta</t>
        </is>
      </c>
      <c r="F42" s="73" t="inlineStr">
        <is>
          <t>Pago enviado a procesar; el banco esta solicitando 3D Secure</t>
        </is>
      </c>
      <c r="G42" s="73" t="inlineStr">
        <is>
          <t>Si - tarjeta 'Challenge' (el banco pide un codigo)</t>
        </is>
      </c>
      <c r="H42"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Cuando se abra la pagina del banco (3D Secure), cerrarla o presionar 'Atras' del navegador
7. Revisar a donde regresa y el mensaje mostrado</t>
        </is>
      </c>
      <c r="I42" s="73" t="inlineStr">
        <is>
          <t>VISA 4110 7600 0000 0008 / vencimiento futuro (ej. 12/30) / CVV 123</t>
        </is>
      </c>
      <c r="J42" s="73" t="inlineStr">
        <is>
          <t>El sistema regresa al flujo de Memphis y muestra un mensaje de error, permitiendo reintentar el pago</t>
        </is>
      </c>
      <c r="K42" s="73" t="n"/>
      <c r="L42" s="73" t="inlineStr">
        <is>
          <t>Pendiente</t>
        </is>
      </c>
      <c r="M42" s="76" t="inlineStr">
        <is>
          <t>Comun en usuarios que no entienden la pantalla del banco y la cierran
[Revision 29/09/2026] Por validar si aplica: el 3D Secure es una redireccion de pagina completa al banco; confirmar si se puede cancelar/cerrar y como debe responder el Boton de Pago</t>
        </is>
      </c>
      <c r="N42" s="73" t="inlineStr">
        <is>
          <t>Automatizada</t>
        </is>
      </c>
    </row>
    <row r="43" ht="15" customHeight="1" s="32">
      <c r="A43" s="73" t="inlineStr">
        <is>
          <t>TC-BP-028</t>
        </is>
      </c>
      <c r="B43" s="73" t="n"/>
      <c r="C43" s="73" t="n"/>
      <c r="D43" s="74" t="n"/>
      <c r="E43" s="75" t="n"/>
      <c r="F43" s="73" t="n"/>
      <c r="G43" s="73" t="n"/>
      <c r="H43" s="73" t="n"/>
      <c r="I43" s="73" t="n"/>
      <c r="J43" s="73" t="n"/>
      <c r="K43" s="73" t="n"/>
      <c r="L43" s="73" t="n"/>
      <c r="M43" s="73" t="n"/>
      <c r="N43" s="73" t="n"/>
    </row>
    <row r="44" ht="15" customHeight="1" s="32">
      <c r="A44" s="73" t="inlineStr">
        <is>
          <t>TC-BP-095</t>
        </is>
      </c>
      <c r="B44" s="73" t="n"/>
      <c r="C44" s="73" t="n"/>
      <c r="D44" s="74" t="n"/>
      <c r="E44" s="75" t="n"/>
      <c r="F44" s="73" t="n"/>
      <c r="G44" s="73" t="n"/>
      <c r="H44" s="73" t="n"/>
      <c r="I44" s="73" t="n"/>
      <c r="J44" s="73" t="n"/>
      <c r="K44" s="73" t="n"/>
      <c r="L44" s="73" t="n"/>
      <c r="M44" s="73" t="n"/>
      <c r="N44" s="73" t="n"/>
    </row>
    <row r="45" ht="120" customHeight="1" s="32">
      <c r="A45" s="70" t="inlineStr">
        <is>
          <t>TC-BP-096</t>
        </is>
      </c>
      <c r="B45" s="70" t="inlineStr">
        <is>
          <t>05. Procesamiento del Pago y Autenticacion del Banco (3D Secure)</t>
        </is>
      </c>
      <c r="C45" s="70" t="inlineStr">
        <is>
          <t>Pago con tarjeta 'Not authenticated' (autenticacion fallida)</t>
        </is>
      </c>
      <c r="D45" s="71" t="inlineStr">
        <is>
          <t>ERROR</t>
        </is>
      </c>
      <c r="E45" s="72" t="inlineStr">
        <is>
          <t>Alta</t>
        </is>
      </c>
      <c r="F45" s="70" t="inlineStr">
        <is>
          <t>Se cuenta con una referencia o linea de captura vigente y sin pagar del Gobierno de Puebla</t>
        </is>
      </c>
      <c r="G45" s="70" t="inlineStr">
        <is>
          <t>Si - tarjeta 'Not authenticated' (el banco rechaza la autenticacion)</t>
        </is>
      </c>
      <c r="H45"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Verificar que el banco no pida codigo
7. Revisar 'Transaccion rechazada', el aviso emergente y el boton 'Reintentar'</t>
        </is>
      </c>
      <c r="I45" s="70" t="inlineStr">
        <is>
          <t>VISA 4110 7600 0000 0065 / vencimiento futuro (ej. 12/30) / CVV 123 (alterna: MasterCard 5180 3000 0000 0039)</t>
        </is>
      </c>
      <c r="J45" s="70" t="inlineStr">
        <is>
          <t>Se muestra 'Transaccion rechazada' ('Rechazada por 3DS'), el aviso de error y el boton 'Reintentar'; no se registra cobro</t>
        </is>
      </c>
      <c r="K45" s="70" t="n"/>
      <c r="L45" s="70" t="inlineStr">
        <is>
          <t>Pendiente</t>
        </is>
      </c>
      <c r="M45" s="70" t="inlineStr">
        <is>
          <t>[CASO NUEVO] Tarjeta de prueba 3DS (ver hoja 'Tarjetas 3DS')</t>
        </is>
      </c>
      <c r="N45" s="70" t="inlineStr">
        <is>
          <t>Automatizada</t>
        </is>
      </c>
    </row>
    <row r="46" ht="120" customHeight="1" s="32">
      <c r="A46" s="70" t="inlineStr">
        <is>
          <t>TC-BP-097</t>
        </is>
      </c>
      <c r="B46" s="70" t="inlineStr">
        <is>
          <t>05. Procesamiento del Pago y Autenticacion del Banco (3D Secure)</t>
        </is>
      </c>
      <c r="C46" s="70" t="inlineStr">
        <is>
          <t>Pago sin reto con MasterCard (tarjeta 'Not challenge')</t>
        </is>
      </c>
      <c r="D46" s="71" t="inlineStr">
        <is>
          <t>EXITO</t>
        </is>
      </c>
      <c r="E46" s="72" t="inlineStr">
        <is>
          <t>Media</t>
        </is>
      </c>
      <c r="F46" s="70" t="inlineStr">
        <is>
          <t>Se cuenta con una referencia o linea de captura vigente y sin pagar del Gobierno de Puebla</t>
        </is>
      </c>
      <c r="G46" s="70" t="inlineStr">
        <is>
          <t>No - tarjeta 'Not challenge' (se aprueba sin reto)</t>
        </is>
      </c>
      <c r="H46"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Verificar que el banco no pida codigo (si redirige, regresa solo)
7. Revisar el resultado
8. (Manual) Ingresar a Citeling y verificar que el pago aparezca con la referencia, importe, autorizacion, fecha y tipo de pago</t>
        </is>
      </c>
      <c r="I46" s="70" t="inlineStr">
        <is>
          <t>MasterCard 5180 3000 0000 0005 / vencimiento futuro (ej. 12/30) / CVV 123</t>
        </is>
      </c>
      <c r="J46" s="70" t="inlineStr">
        <is>
          <t>El pago se aprueba sin pedir codigo al usuario y se muestra 'Transaccion aprobada'</t>
        </is>
      </c>
      <c r="K46" s="70" t="n"/>
      <c r="L46" s="70" t="inlineStr">
        <is>
          <t>Pendiente</t>
        </is>
      </c>
      <c r="M46" s="70" t="inlineStr">
        <is>
          <t>[CASO NUEVO] Tarjeta de prueba 3DS (ver hoja 'Tarjetas 3DS')</t>
        </is>
      </c>
      <c r="N46" s="70" t="inlineStr">
        <is>
          <t>Mixta (automatizada + Citeling manual)</t>
        </is>
      </c>
    </row>
    <row r="47" ht="120" customHeight="1" s="32">
      <c r="A47" s="70" t="inlineStr">
        <is>
          <t>TC-BP-098</t>
        </is>
      </c>
      <c r="B47" s="70" t="inlineStr">
        <is>
          <t>05. Procesamiento del Pago y Autenticacion del Banco (3D Secure)</t>
        </is>
      </c>
      <c r="C47" s="70" t="inlineStr">
        <is>
          <t>Pago completando el reto 3D Secure con MasterCard (tarjeta 'Challenge')</t>
        </is>
      </c>
      <c r="D47" s="71" t="inlineStr">
        <is>
          <t>EXITO</t>
        </is>
      </c>
      <c r="E47" s="72" t="inlineStr">
        <is>
          <t>Media</t>
        </is>
      </c>
      <c r="F47" s="70" t="inlineStr">
        <is>
          <t>Se cuenta con una referencia o linea de captura vigente y sin pagar del Gobierno de Puebla</t>
        </is>
      </c>
      <c r="G47" s="70" t="inlineStr">
        <is>
          <t>Si - tarjeta 'Challenge' (el banco pide un codigo)</t>
        </is>
      </c>
      <c r="H4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En la pagina del banco capturar el codigo del reto 3D Secure
7. Verificar que regrese al Boton de Pago y revisar el resultado
8. (Manual) Ingresar a Citeling y verificar que el pago aparezca con la referencia, importe, autorizacion, fecha y tipo de pago</t>
        </is>
      </c>
      <c r="I47" s="70" t="inlineStr">
        <is>
          <t>MasterCard 5292 5943 8206 0745 / vencimiento futuro (ej. 12/30) / CVV 123 (alterna: MasterCard 5180 3000 0000 0047)</t>
        </is>
      </c>
      <c r="J47" s="70" t="inlineStr">
        <is>
          <t>El usuario captura el codigo en la pagina del banco, regresa al Boton de Pago y se muestra 'Transaccion aprobada'</t>
        </is>
      </c>
      <c r="K47" s="70" t="n"/>
      <c r="L47" s="70" t="inlineStr">
        <is>
          <t>Pendiente</t>
        </is>
      </c>
      <c r="M47" s="70" t="inlineStr">
        <is>
          <t>[CASO NUEVO] Tarjeta de prueba 3DS (ver hoja 'Tarjetas 3DS')</t>
        </is>
      </c>
      <c r="N47" s="70" t="inlineStr">
        <is>
          <t>Mixta (automatizada + Citeling manual)</t>
        </is>
      </c>
    </row>
    <row r="48" ht="15" customHeight="1" s="32">
      <c r="A48" s="73" t="inlineStr">
        <is>
          <t>TC-BP-029</t>
        </is>
      </c>
      <c r="B48" s="73" t="n"/>
      <c r="C48" s="73" t="n"/>
      <c r="D48" s="74" t="n"/>
      <c r="E48" s="75" t="n"/>
      <c r="F48" s="73" t="n"/>
      <c r="G48" s="73" t="n"/>
      <c r="H48" s="73" t="n"/>
      <c r="I48" s="73" t="n"/>
      <c r="J48" s="73" t="n"/>
      <c r="K48" s="73" t="n"/>
      <c r="L48" s="73" t="n"/>
      <c r="M48" s="73" t="n"/>
      <c r="N48" s="73" t="n"/>
    </row>
    <row r="49" ht="15" customHeight="1" s="32">
      <c r="A49" s="73" t="inlineStr">
        <is>
          <t>TC-BP-030</t>
        </is>
      </c>
      <c r="B49" s="73" t="n"/>
      <c r="C49" s="73" t="n"/>
      <c r="D49" s="74" t="n"/>
      <c r="E49" s="75" t="n"/>
      <c r="F49" s="73" t="n"/>
      <c r="G49" s="73" t="n"/>
      <c r="H49" s="73" t="n"/>
      <c r="I49" s="73" t="n"/>
      <c r="J49" s="73" t="n"/>
      <c r="K49" s="73" t="n"/>
      <c r="L49" s="73" t="n"/>
      <c r="M49" s="73" t="n"/>
      <c r="N49" s="73" t="n"/>
    </row>
    <row r="50" ht="15" customHeight="1" s="32">
      <c r="A50" s="73" t="inlineStr">
        <is>
          <t>TC-BP-031</t>
        </is>
      </c>
      <c r="B50" s="73" t="n"/>
      <c r="C50" s="73" t="n"/>
      <c r="D50" s="74" t="n"/>
      <c r="E50" s="75" t="n"/>
      <c r="F50" s="73" t="n"/>
      <c r="G50" s="73" t="n"/>
      <c r="H50" s="73" t="n"/>
      <c r="I50" s="73" t="n"/>
      <c r="J50" s="73" t="n"/>
      <c r="K50" s="73" t="n"/>
      <c r="L50" s="73" t="n"/>
      <c r="M50" s="73" t="n"/>
      <c r="N50" s="73" t="n"/>
    </row>
    <row r="51" ht="90" customHeight="1" s="32">
      <c r="A51" s="70" t="inlineStr">
        <is>
          <t>TC-BP-093</t>
        </is>
      </c>
      <c r="B51" s="70" t="inlineStr">
        <is>
          <t>06. Resultado Exitoso (fin del alcance QA - redireccion al Gobierno)</t>
        </is>
      </c>
      <c r="C51" s="70" t="inlineStr">
        <is>
          <t>Verificar en Citeling el pago aprobado</t>
        </is>
      </c>
      <c r="D51" s="71" t="inlineStr">
        <is>
          <t>EXITO</t>
        </is>
      </c>
      <c r="E51" s="72" t="inlineStr">
        <is>
          <t>Alta</t>
        </is>
      </c>
      <c r="F51" s="70" t="inlineStr">
        <is>
          <t>Existe un pago aprobado (TC-BP-050)</t>
        </is>
      </c>
      <c r="G51" s="70" t="inlineStr">
        <is>
          <t>N/A</t>
        </is>
      </c>
      <c r="H51" s="70" t="inlineStr">
        <is>
          <t>1. Tomar la Referencia, Autorizacion e Identificador de la pantalla 'Transaccion aprobada'
2. Ingresar a Citeling y buscar el pago por referencia
3. Comparar importe, fecha, autorizacion, tipo de pago y banco emisor</t>
        </is>
      </c>
      <c r="I51" s="70" t="inlineStr">
        <is>
          <t>Datos del pago aprobado</t>
        </is>
      </c>
      <c r="J51" s="70" t="inlineStr">
        <is>
          <t>El pago aparece en Citeling una sola vez y con los mismos datos que se mostraron al contribuyente</t>
        </is>
      </c>
      <c r="K51" s="70" t="n"/>
      <c r="L51" s="70" t="inlineStr">
        <is>
          <t>Pendiente</t>
        </is>
      </c>
      <c r="M51" s="70" t="inlineStr">
        <is>
          <t>[CASO NUEVO] Validacion manual (Citeling es otra aplicacion)</t>
        </is>
      </c>
      <c r="N51" s="70" t="inlineStr">
        <is>
          <t>Manual</t>
        </is>
      </c>
    </row>
    <row r="52" ht="120" customHeight="1" s="32">
      <c r="A52" s="70" t="inlineStr">
        <is>
          <t>TC-BP-099</t>
        </is>
      </c>
      <c r="B52" s="70" t="inlineStr">
        <is>
          <t>06. Resultado Exitoso (fin del alcance QA - redireccion al Gobierno)</t>
        </is>
      </c>
      <c r="C52" s="70" t="inlineStr">
        <is>
          <t>Verificar los datos del Comprobante de Pago del Gobierno</t>
        </is>
      </c>
      <c r="D52" s="71" t="inlineStr">
        <is>
          <t>EXITO</t>
        </is>
      </c>
      <c r="E52" s="72" t="inlineStr">
        <is>
          <t>Alta</t>
        </is>
      </c>
      <c r="F52" s="70" t="inlineStr">
        <is>
          <t>Se cuenta con una referencia o linea de captura vigente y sin pagar del Gobierno de Puebla</t>
        </is>
      </c>
      <c r="G52" s="70" t="inlineStr">
        <is>
          <t>No - tarjeta 'Not challenge' (se aprueba sin reto)</t>
        </is>
      </c>
      <c r="H52" s="70" t="inlineStr">
        <is>
          <t>1. Ingresar con la referencia o linea de captura (hoja 'Flujo Real', pasos 1 a 5) hasta ver el Paso 1 - Contacto
2. Completar los Pasos 1, 2 y 3 con datos validos (tarjeta 'Not challenge') hasta el Paso 4 - Pago
3. Paso 4 - Pago: dar clic en 'Continuar' para pagar
4. En 'Transaccion aprobada' anotar la Autorizacion y esperar el contador (o dar 'Continuar en N s.')
5. Verificar que se muestre el 'COMPROBANTE DE PAGO' del Gobierno
6. Revisar Nombre del Tarjetahabiente, Institucion Financiera, Tipo de Pago, Fecha de Pago y Autorizacion Bancaria
7. Comparar la Autorizacion Bancaria con la mostrada en 'Transaccion aprobada'</t>
        </is>
      </c>
      <c r="I52" s="70" t="inlineStr">
        <is>
          <t>Juan Hernandez / VISA 4111 1111 1111 1111 / vencimiento futuro (ej. 12/30) / CVV 123</t>
        </is>
      </c>
      <c r="J52" s="70" t="inlineStr">
        <is>
          <t>El comprobante muestra el nombre completo del tarjetahabiente, el banco emisor, el tipo de pago, la fecha en formato DD/MM/YYYY HH24:MI:SS y la misma autorizacion que mostro el Boton de Pago</t>
        </is>
      </c>
      <c r="K52" s="70" t="n"/>
      <c r="L52" s="70" t="inlineStr">
        <is>
          <t>Pendiente</t>
        </is>
      </c>
      <c r="M52" s="70" t="inlineStr">
        <is>
          <t>[CASO NUEVO] Observado 29/09/2026: la fecha se muestra '2026-09-29T14:34:40' con la leyenda 'Formato(DD/MM/YYYY HH24:MI:SS)' visible; Institucion Financiera muestra 'PROSA' (procesador) en lugar del banco emisor; el nombre aparece solo como 'Santiago'</t>
        </is>
      </c>
      <c r="N52" s="70" t="inlineStr">
        <is>
          <t>Automatizada</t>
        </is>
      </c>
    </row>
    <row r="53" ht="15" customHeight="1" s="32">
      <c r="A53" s="73" t="inlineStr">
        <is>
          <t>TC-BP-100</t>
        </is>
      </c>
      <c r="B53" s="73" t="n"/>
      <c r="C53" s="73" t="n"/>
      <c r="D53" s="74" t="n"/>
      <c r="E53" s="75" t="n"/>
      <c r="F53" s="73" t="n"/>
      <c r="G53" s="73" t="n"/>
      <c r="H53" s="73" t="n"/>
      <c r="I53" s="73" t="n"/>
      <c r="J53" s="73" t="n"/>
      <c r="K53" s="73" t="n"/>
      <c r="L53" s="73" t="n"/>
      <c r="M53" s="73" t="n"/>
      <c r="N53" s="73" t="n"/>
    </row>
    <row r="54" ht="15" customHeight="1" s="32">
      <c r="A54" s="73" t="inlineStr">
        <is>
          <t>TC-BP-101</t>
        </is>
      </c>
      <c r="B54" s="73" t="n"/>
      <c r="C54" s="73" t="n"/>
      <c r="D54" s="74" t="n"/>
      <c r="E54" s="75" t="n"/>
      <c r="F54" s="73" t="n"/>
      <c r="G54" s="73" t="n"/>
      <c r="H54" s="73" t="n"/>
      <c r="I54" s="73" t="n"/>
      <c r="J54" s="73" t="n"/>
      <c r="K54" s="73" t="n"/>
      <c r="L54" s="73" t="n"/>
      <c r="M54" s="73" t="n"/>
      <c r="N54" s="73" t="n"/>
    </row>
    <row r="55" ht="15" customHeight="1" s="32">
      <c r="A55" s="73" t="inlineStr">
        <is>
          <t>TC-BP-032</t>
        </is>
      </c>
      <c r="B55" s="73" t="n"/>
      <c r="C55" s="73" t="n"/>
      <c r="D55" s="74" t="n"/>
      <c r="E55" s="75" t="n"/>
      <c r="F55" s="73" t="n"/>
      <c r="G55" s="73" t="n"/>
      <c r="H55" s="73" t="n"/>
      <c r="I55" s="73" t="n"/>
      <c r="J55" s="73" t="n"/>
      <c r="K55" s="73" t="n"/>
      <c r="L55" s="73" t="n"/>
      <c r="M55" s="73" t="n"/>
      <c r="N55" s="73" t="n"/>
    </row>
    <row r="56" ht="75" customHeight="1" s="32">
      <c r="A56" s="73" t="inlineStr">
        <is>
          <t>TC-BP-033</t>
        </is>
      </c>
      <c r="B56" s="73" t="inlineStr">
        <is>
          <t>07. Resultado Fallido y Reintento</t>
        </is>
      </c>
      <c r="C56" s="73" t="inlineStr">
        <is>
          <t>Dar clic en 'Reintentar' tras un pago rechazado</t>
        </is>
      </c>
      <c r="D56" s="74" t="inlineStr">
        <is>
          <t>EXITO</t>
        </is>
      </c>
      <c r="E56" s="75" t="inlineStr">
        <is>
          <t>Alta</t>
        </is>
      </c>
      <c r="F56" s="73" t="inlineStr">
        <is>
          <t>El pago fue enviado al banco y rechazado, o fue rechazado por el sistema antes de llegar al banco</t>
        </is>
      </c>
      <c r="G56" s="73" t="inlineStr">
        <is>
          <t>Si - tarjeta 'Not authenticated' (el banco rechaza la autenticacion)</t>
        </is>
      </c>
      <c r="H56"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En 'Transaccion rechazada' dar clic en 'Reintentar'
7. Verificar que regrese al Paso 1 con la misma referencia</t>
        </is>
      </c>
      <c r="I56" s="73" t="inlineStr">
        <is>
          <t>VISA 4110 7600 0000 0065 / vencimiento futuro (ej. 12/30) / CVV 123</t>
        </is>
      </c>
      <c r="J56" s="73" t="inlineStr">
        <is>
          <t>El sistema regresa al Paso 1 del formulario sin perder la referencia original</t>
        </is>
      </c>
      <c r="K56" s="73" t="n"/>
      <c r="L56" s="73" t="inlineStr">
        <is>
          <t>Pendiente</t>
        </is>
      </c>
      <c r="M56" s="73" t="inlineStr">
        <is>
          <t>[Revision 29/09/2026] Pasos actualizados al flujo real (referencia / linea de captura)</t>
        </is>
      </c>
      <c r="N56" s="73" t="inlineStr">
        <is>
          <t>Automatizada</t>
        </is>
      </c>
    </row>
    <row r="57" ht="15" customHeight="1" s="32">
      <c r="A57" s="73" t="inlineStr">
        <is>
          <t>TC-BP-034</t>
        </is>
      </c>
      <c r="B57" s="73" t="n"/>
      <c r="C57" s="73" t="n"/>
      <c r="D57" s="74" t="n"/>
      <c r="E57" s="75" t="n"/>
      <c r="F57" s="73" t="n"/>
      <c r="G57" s="73" t="n"/>
      <c r="H57" s="73" t="n"/>
      <c r="I57" s="73" t="n"/>
      <c r="J57" s="73" t="n"/>
      <c r="K57" s="73" t="n"/>
      <c r="L57" s="73" t="n"/>
      <c r="M57" s="73" t="n"/>
      <c r="N57" s="73" t="n"/>
    </row>
    <row r="58" ht="75" customHeight="1" s="32">
      <c r="A58" s="73" t="inlineStr">
        <is>
          <t>TC-BP-035</t>
        </is>
      </c>
      <c r="B58" s="73" t="inlineStr">
        <is>
          <t>07. Resultado Fallido y Reintento</t>
        </is>
      </c>
      <c r="C58" s="73" t="inlineStr">
        <is>
          <t>Insistir varias veces seguidas con la misma tarjeta rechazada</t>
        </is>
      </c>
      <c r="D58" s="74" t="inlineStr">
        <is>
          <t>ESPECIAL</t>
        </is>
      </c>
      <c r="E58" s="75" t="inlineStr">
        <is>
          <t>Media</t>
        </is>
      </c>
      <c r="F58" s="73" t="inlineStr">
        <is>
          <t>Tarjeta de prueba declinada disponible para repetir el intento</t>
        </is>
      </c>
      <c r="G58" s="73" t="inlineStr">
        <is>
          <t>Si - tarjeta 'Not authenticated' (el banco rechaza la autenticacion)</t>
        </is>
      </c>
      <c r="H58"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Dar clic en 'Reintentar' y repetir el pago con la misma tarjeta 3 veces o mas</t>
        </is>
      </c>
      <c r="I58" s="73" t="inlineStr">
        <is>
          <t>VISA 4110 7600 0000 0065, 3+ intentos</t>
        </is>
      </c>
      <c r="J58" s="73" t="inlineStr">
        <is>
          <t>El sistema permite los reintentos sin bloquear al usuario, y no genera ningun cobro parcial</t>
        </is>
      </c>
      <c r="K58" s="73" t="n"/>
      <c r="L58" s="73" t="inlineStr">
        <is>
          <t>Pendiente</t>
        </is>
      </c>
      <c r="M58" s="73" t="inlineStr">
        <is>
          <t>[Revision 29/09/2026] Pasos actualizados al flujo real (referencia / linea de captura)</t>
        </is>
      </c>
      <c r="N58" s="73" t="inlineStr">
        <is>
          <t>Automatizada</t>
        </is>
      </c>
    </row>
    <row r="59" ht="15" customHeight="1" s="32">
      <c r="A59" s="73" t="inlineStr">
        <is>
          <t>TC-BP-067</t>
        </is>
      </c>
      <c r="B59" s="73" t="n"/>
      <c r="C59" s="73" t="n"/>
      <c r="D59" s="74" t="n"/>
      <c r="E59" s="75" t="n"/>
      <c r="F59" s="73" t="n"/>
      <c r="G59" s="73" t="n"/>
      <c r="H59" s="73" t="n"/>
      <c r="I59" s="73" t="n"/>
      <c r="J59" s="73" t="n"/>
      <c r="K59" s="73" t="n"/>
      <c r="L59" s="73" t="n"/>
      <c r="M59" s="73" t="n"/>
      <c r="N59" s="73" t="n"/>
    </row>
    <row r="60" ht="105" customHeight="1" s="32">
      <c r="A60" s="70" t="inlineStr">
        <is>
          <t>TC-BP-068</t>
        </is>
      </c>
      <c r="B60" s="70" t="inlineStr">
        <is>
          <t>07. Resultado Fallido y Reintento</t>
        </is>
      </c>
      <c r="C60" s="70" t="inlineStr">
        <is>
          <t>Reintentar tras un rechazo por 3D Secure</t>
        </is>
      </c>
      <c r="D60" s="71" t="inlineStr">
        <is>
          <t>ERROR</t>
        </is>
      </c>
      <c r="E60" s="72" t="inlineStr">
        <is>
          <t>Alta</t>
        </is>
      </c>
      <c r="F60" s="70" t="inlineStr">
        <is>
          <t>El pago fue enviado y el resultado fue 'Transaccion rechazada'</t>
        </is>
      </c>
      <c r="G60" s="70" t="inlineStr">
        <is>
          <t>Si - tarjeta 'Not authenticated' (el banco rechaza la autenticacion)</t>
        </is>
      </c>
      <c r="H60"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Obtener 'Rechazada por 3DS'
7. Dar clic en 'Reintentar' y completar el flujo de nuevo
8. Revisar el resultado del segundo intento</t>
        </is>
      </c>
      <c r="I60" s="70" t="inlineStr">
        <is>
          <t>VISA 4110 7600 0000 0065 / vencimiento futuro (ej. 12/30) / CVV 123</t>
        </is>
      </c>
      <c r="J60" s="70" t="inlineStr">
        <is>
          <t>El reintento procesa el pago normalmente; no aparece 'Invalid arguments to initiate request'</t>
        </is>
      </c>
      <c r="K60" s="70" t="n"/>
      <c r="L60" s="70" t="inlineStr">
        <is>
          <t>Pendiente</t>
        </is>
      </c>
      <c r="M60" s="70" t="inlineStr">
        <is>
          <t>[CASO NUEVO] Observado 29/09/2026: tras reintentar aparecio 'Invalid arguments to initiate request'
[Revision 29/09/2026] Pasos actualizados al flujo real (referencia / linea de captura)</t>
        </is>
      </c>
      <c r="N60" s="70" t="inlineStr">
        <is>
          <t>Automatizada</t>
        </is>
      </c>
    </row>
    <row r="61" ht="15" customHeight="1" s="32">
      <c r="A61" s="73" t="inlineStr">
        <is>
          <t>TC-BP-069</t>
        </is>
      </c>
      <c r="B61" s="73" t="n"/>
      <c r="C61" s="73" t="n"/>
      <c r="D61" s="74" t="n"/>
      <c r="E61" s="75" t="n"/>
      <c r="F61" s="73" t="n"/>
      <c r="G61" s="73" t="n"/>
      <c r="H61" s="73" t="n"/>
      <c r="I61" s="73" t="n"/>
      <c r="J61" s="73" t="n"/>
      <c r="K61" s="73" t="n"/>
      <c r="L61" s="73" t="n"/>
      <c r="M61" s="73" t="n"/>
      <c r="N61" s="73" t="n"/>
    </row>
    <row r="62" ht="105" customHeight="1" s="32">
      <c r="A62" s="70" t="inlineStr">
        <is>
          <t>TC-BP-094</t>
        </is>
      </c>
      <c r="B62" s="70" t="inlineStr">
        <is>
          <t>07. Resultado Fallido y Reintento</t>
        </is>
      </c>
      <c r="C62" s="70" t="inlineStr">
        <is>
          <t>Verificar que un pago rechazado no aparezca como pagado en Citeling</t>
        </is>
      </c>
      <c r="D62" s="71" t="inlineStr">
        <is>
          <t>ERROR</t>
        </is>
      </c>
      <c r="E62" s="72" t="inlineStr">
        <is>
          <t>Alta</t>
        </is>
      </c>
      <c r="F62" s="70" t="inlineStr">
        <is>
          <t>Existe un pago rechazado (TC-BP-032)</t>
        </is>
      </c>
      <c r="G62" s="70" t="inlineStr">
        <is>
          <t>Si - tarjeta 'Not authenticated' (el banco rechaza la autenticacion)</t>
        </is>
      </c>
      <c r="H62" s="70" t="inlineStr">
        <is>
          <t>1. Tomar la Referencia e Identificador de la pantalla 'Transaccion rechazada'
2. Ingresar a Citeling y buscar la referencia
3. Revisar el estado del pago</t>
        </is>
      </c>
      <c r="I62" s="70" t="inlineStr">
        <is>
          <t>Pago rechazado con VISA 4110 7600 0000 0065</t>
        </is>
      </c>
      <c r="J62" s="70" t="inlineStr">
        <is>
          <t>La referencia no aparece como pagada en Citeling</t>
        </is>
      </c>
      <c r="K62" s="70" t="n"/>
      <c r="L62" s="70" t="inlineStr">
        <is>
          <t>Pendiente</t>
        </is>
      </c>
      <c r="M62" s="70" t="inlineStr">
        <is>
          <t>[CASO NUEVO] Validacion manual (Citeling es otra aplicacion)</t>
        </is>
      </c>
      <c r="N62" s="70" t="inlineStr">
        <is>
          <t>Manual</t>
        </is>
      </c>
    </row>
    <row r="63" ht="90" customHeight="1" s="32">
      <c r="A63" s="73" t="inlineStr">
        <is>
          <t>TC-BP-036</t>
        </is>
      </c>
      <c r="B63" s="73" t="inlineStr">
        <is>
          <t>08. Casos Especiales de Navegacion (usuario con poco conocimiento tecnico)</t>
        </is>
      </c>
      <c r="C63" s="73" t="inlineStr">
        <is>
          <t>Presionar F5 (recargar la pagina) durante el llenado de cualquier paso</t>
        </is>
      </c>
      <c r="D63" s="74" t="inlineStr">
        <is>
          <t>ESPECIAL</t>
        </is>
      </c>
      <c r="E63" s="75" t="inlineStr">
        <is>
          <t>Alta</t>
        </is>
      </c>
      <c r="F63" s="73" t="inlineStr">
        <is>
          <t>Cualquier paso del formulario (Contacto, Direccion o Tarjeta) con datos parcialmente capturados</t>
        </is>
      </c>
      <c r="G63" s="73" t="inlineStr">
        <is>
          <t>N/A</t>
        </is>
      </c>
      <c r="H63" s="73" t="inlineStr">
        <is>
          <t>1. Ingresar con la referencia o linea de captura (hoja 'Flujo Real', pasos 1 a 5) hasta ver el Paso 1 - Contacto
2. Paso 1 - Contacto: capturar telefono y correo validos y dar clic en 'Continuar'
3. Paso 2: capturar parcialmente la direccion
4. Presionar F5 o el boton de recargar del navegador
5. Revisar la pantalla mostrada</t>
        </is>
      </c>
      <c r="I63" s="73" t="inlineStr">
        <is>
          <t>N/A</t>
        </is>
      </c>
      <c r="J63" s="73" t="inlineStr">
        <is>
          <t>La pagina regresa a un estado correcto (reinicia el formulario o recupera el progreso); no se genera ningun cobro ni error tecnico feo en pantalla</t>
        </is>
      </c>
      <c r="K63" s="73" t="n"/>
      <c r="L63" s="73" t="inlineStr">
        <is>
          <t>Pendiente</t>
        </is>
      </c>
      <c r="M63" s="73" t="inlineStr">
        <is>
          <t>[Revision 29/09/2026] Pasos actualizados al flujo real (referencia / linea de captura)</t>
        </is>
      </c>
      <c r="N63" s="73" t="inlineStr">
        <is>
          <t>Automatizada</t>
        </is>
      </c>
    </row>
    <row r="64" ht="75" customHeight="1" s="32">
      <c r="A64" s="73" t="inlineStr">
        <is>
          <t>TC-BP-037</t>
        </is>
      </c>
      <c r="B64" s="73" t="inlineStr">
        <is>
          <t>08. Casos Especiales de Navegacion (usuario con poco conocimiento tecnico)</t>
        </is>
      </c>
      <c r="C64" s="73" t="inlineStr">
        <is>
          <t>Presionar F5 justo despues de confirmar el pago (pantalla 'Procesando')</t>
        </is>
      </c>
      <c r="D64" s="74" t="inlineStr">
        <is>
          <t>ESPECIAL</t>
        </is>
      </c>
      <c r="E64" s="75" t="inlineStr">
        <is>
          <t>Alta</t>
        </is>
      </c>
      <c r="F64" s="73" t="inlineStr">
        <is>
          <t>Pago recien confirmado, pantalla 'Procesando transaccion' visible</t>
        </is>
      </c>
      <c r="G64" s="73" t="inlineStr">
        <is>
          <t>No - tarjeta 'Not challenge' (se aprueba sin reto)</t>
        </is>
      </c>
      <c r="H64"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Inmediatamente presionar F5 antes de ver el resultado
7. Revisar la pantalla y el estado del pago</t>
        </is>
      </c>
      <c r="I64" s="73" t="inlineStr">
        <is>
          <t>VISA 4111 1111 1111 1111</t>
        </is>
      </c>
      <c r="J64" s="73" t="inlineStr">
        <is>
          <t>El sistema NO cobra dos veces; al recargar muestra el resultado real del pago (aprobado, rechazado o en proceso)</t>
        </is>
      </c>
      <c r="K64" s="73" t="n"/>
      <c r="L64" s="73" t="inlineStr">
        <is>
          <t>Pendiente</t>
        </is>
      </c>
      <c r="M64" s="73" t="inlineStr">
        <is>
          <t>Caso critico; muy comun en usuarios impacientes que no saben tecnologia
[Revision 29/09/2026] Pasos actualizados al flujo real (referencia / linea de captura)</t>
        </is>
      </c>
      <c r="N64" s="73" t="inlineStr">
        <is>
          <t>Automatizada</t>
        </is>
      </c>
    </row>
    <row r="65" ht="90" customHeight="1" s="32">
      <c r="A65" s="73" t="inlineStr">
        <is>
          <t>TC-BP-038</t>
        </is>
      </c>
      <c r="B65" s="73" t="inlineStr">
        <is>
          <t>08. Casos Especiales de Navegacion (usuario con poco conocimiento tecnico)</t>
        </is>
      </c>
      <c r="C65" s="73" t="inlineStr">
        <is>
          <t>Presionar el boton 'Atras' del navegador durante el llenado del formulario</t>
        </is>
      </c>
      <c r="D65" s="74" t="inlineStr">
        <is>
          <t>ESPECIAL</t>
        </is>
      </c>
      <c r="E65" s="75" t="inlineStr">
        <is>
          <t>Alta</t>
        </is>
      </c>
      <c r="F65" s="73" t="inlineStr">
        <is>
          <t>Cualquier paso del formulario con datos parcialmente capturados</t>
        </is>
      </c>
      <c r="G65" s="73" t="inlineStr">
        <is>
          <t>N/A</t>
        </is>
      </c>
      <c r="H65" s="73" t="inlineStr">
        <is>
          <t>1. Ingresar con la referencia o linea de captura (hoja 'Flujo Real', pasos 1 a 5) hasta ver el Paso 1 - Contacto
2. Paso 1 - Contacto: capturar telefono y correo validos y dar clic en 'Continuar'
3. Paso 2: capturar parcialmente la direccion
4. Presionar el boton 'Atras' del navegador (no el de la pagina)
5. Revisar a donde regresa</t>
        </is>
      </c>
      <c r="I65" s="73" t="inlineStr">
        <is>
          <t>N/A</t>
        </is>
      </c>
      <c r="J65" s="73" t="inlineStr">
        <is>
          <t>El sistema maneja bien la navegacion; no muestra errores raros ni deja el formulario en un estado inconsistente</t>
        </is>
      </c>
      <c r="K65" s="73" t="n"/>
      <c r="L65" s="73" t="inlineStr">
        <is>
          <t>Pendiente</t>
        </is>
      </c>
      <c r="M65" s="73" t="inlineStr">
        <is>
          <t>[Revision 29/09/2026] Pasos actualizados al flujo real (referencia / linea de captura)</t>
        </is>
      </c>
      <c r="N65" s="73" t="inlineStr">
        <is>
          <t>Automatizada</t>
        </is>
      </c>
    </row>
    <row r="66" ht="75" customHeight="1" s="32">
      <c r="A66" s="73" t="inlineStr">
        <is>
          <t>TC-BP-039</t>
        </is>
      </c>
      <c r="B66" s="73" t="inlineStr">
        <is>
          <t>08. Casos Especiales de Navegacion (usuario con poco conocimiento tecnico)</t>
        </is>
      </c>
      <c r="C66" s="73" t="inlineStr">
        <is>
          <t>Presionar 'Atras' despues de ver 'Transaccion aprobada' y luego 'Adelante'</t>
        </is>
      </c>
      <c r="D66" s="74" t="inlineStr">
        <is>
          <t>ESPECIAL</t>
        </is>
      </c>
      <c r="E66" s="75" t="inlineStr">
        <is>
          <t>Alta</t>
        </is>
      </c>
      <c r="F66" s="73" t="inlineStr">
        <is>
          <t>El pago fue enviado al banco y aprobado (con o sin 3D Secure, segun la tarjeta de prueba usada)</t>
        </is>
      </c>
      <c r="G66" s="73" t="inlineStr">
        <is>
          <t>No - tarjeta 'Not challenge' (se aprueba sin reto)</t>
        </is>
      </c>
      <c r="H66"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En 'Transaccion aprobada' presionar 'Atras' del navegador
8. Presionar 'Adelante'
9. Revisar si permite volver a capturar o pagar</t>
        </is>
      </c>
      <c r="I66" s="73" t="inlineStr">
        <is>
          <t>VISA 4111 1111 1111 1111</t>
        </is>
      </c>
      <c r="J66" s="73" t="inlineStr">
        <is>
          <t>El sistema no permite volver a capturar y pagar sobre una transaccion ya cobrada; solo muestra el resultado ya obtenido</t>
        </is>
      </c>
      <c r="K66" s="73" t="n"/>
      <c r="L66" s="73" t="inlineStr">
        <is>
          <t>Pendiente</t>
        </is>
      </c>
      <c r="M66" s="76" t="inlineStr">
        <is>
          <t>[Revision 29/09/2026] Por validar si aplica: confirmar el comportamiento esperado de 'Atras/Adelante' despues de un pago aprobado</t>
        </is>
      </c>
      <c r="N66" s="73" t="inlineStr">
        <is>
          <t>Automatizada</t>
        </is>
      </c>
    </row>
    <row r="67" ht="75" customHeight="1" s="32">
      <c r="A67" s="73" t="inlineStr">
        <is>
          <t>TC-BP-040</t>
        </is>
      </c>
      <c r="B67" s="73" t="inlineStr">
        <is>
          <t>08. Casos Especiales de Navegacion (usuario con poco conocimiento tecnico)</t>
        </is>
      </c>
      <c r="C67" s="73" t="inlineStr">
        <is>
          <t>Cerrar la pestana o el navegador justo cuando dice 'Procesando transaccion'</t>
        </is>
      </c>
      <c r="D67" s="74" t="inlineStr">
        <is>
          <t>ESPECIAL</t>
        </is>
      </c>
      <c r="E67" s="75" t="inlineStr">
        <is>
          <t>Alta</t>
        </is>
      </c>
      <c r="F67" s="73" t="inlineStr">
        <is>
          <t>Pago recien confirmado, pantalla 'Procesando transaccion' visible</t>
        </is>
      </c>
      <c r="G67" s="73" t="inlineStr">
        <is>
          <t>No - tarjeta 'Not challenge' (se aprueba sin reto)</t>
        </is>
      </c>
      <c r="H67"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Cerrar la pestana o el navegador inmediatamente
7. Volver a ingresar con la misma referencia</t>
        </is>
      </c>
      <c r="I67" s="73" t="inlineStr">
        <is>
          <t>VISA 4111 1111 1111 1111</t>
        </is>
      </c>
      <c r="J67" s="73" t="inlineStr">
        <is>
          <t>El pago queda resuelto (aprobado o rechazado); al volver a ingresar con la referencia no se cobra de nuevo</t>
        </is>
      </c>
      <c r="K67" s="73" t="n"/>
      <c r="L67" s="73" t="inlineStr">
        <is>
          <t>Pendiente</t>
        </is>
      </c>
      <c r="M67" s="73" t="inlineStr">
        <is>
          <t>[Revision 29/09/2026] Pasos actualizados al flujo real (referencia / linea de captura)</t>
        </is>
      </c>
      <c r="N67" s="73" t="inlineStr">
        <is>
          <t>Automatizada</t>
        </is>
      </c>
    </row>
    <row r="68" ht="75" customHeight="1" s="32">
      <c r="A68" s="73" t="inlineStr">
        <is>
          <t>TC-BP-041</t>
        </is>
      </c>
      <c r="B68" s="73" t="inlineStr">
        <is>
          <t>08. Casos Especiales de Navegacion (usuario con poco conocimiento tecnico)</t>
        </is>
      </c>
      <c r="C68" s="73" t="inlineStr">
        <is>
          <t>Perder la conexion a internet mientras se llena el formulario</t>
        </is>
      </c>
      <c r="D68" s="74" t="inlineStr">
        <is>
          <t>ESPECIAL</t>
        </is>
      </c>
      <c r="E68" s="75" t="inlineStr">
        <is>
          <t>Media</t>
        </is>
      </c>
      <c r="F68" s="73" t="inlineStr">
        <is>
          <t>Cualquier paso del formulario con datos parcialmente capturados; conexion activa</t>
        </is>
      </c>
      <c r="G68" s="73" t="inlineStr">
        <is>
          <t>N/A</t>
        </is>
      </c>
      <c r="H68" s="73" t="inlineStr">
        <is>
          <t>1. Ingresar con la referencia o linea de captura (hoja 'Flujo Real', pasos 1 a 5) hasta ver el Paso 1 - Contacto
2. Capturar telefono y correo
3. Desconectar el internet (wifi/datos)
4. Dar clic en 'Continuar'
5. Reconectar el internet y revisar los datos</t>
        </is>
      </c>
      <c r="I68" s="73" t="inlineStr">
        <is>
          <t>N/A</t>
        </is>
      </c>
      <c r="J68" s="73" t="inlineStr">
        <is>
          <t>El sistema avisa claramente que no hay conexion; al recuperar internet, el usuario puede seguir sin perder lo que ya habia escrito</t>
        </is>
      </c>
      <c r="K68" s="73" t="n"/>
      <c r="L68" s="73" t="inlineStr">
        <is>
          <t>Pendiente</t>
        </is>
      </c>
      <c r="M68" s="73" t="inlineStr">
        <is>
          <t>[Revision 29/09/2026] Pasos actualizados al flujo real (referencia / linea de captura)</t>
        </is>
      </c>
      <c r="N68" s="73" t="inlineStr">
        <is>
          <t>Automatizada</t>
        </is>
      </c>
    </row>
    <row r="69" ht="75" customHeight="1" s="32">
      <c r="A69" s="73" t="inlineStr">
        <is>
          <t>TC-BP-042</t>
        </is>
      </c>
      <c r="B69" s="73" t="inlineStr">
        <is>
          <t>08. Casos Especiales de Navegacion (usuario con poco conocimiento tecnico)</t>
        </is>
      </c>
      <c r="C69" s="73" t="inlineStr">
        <is>
          <t>Perder la conexion a internet justo despues de confirmar el pago</t>
        </is>
      </c>
      <c r="D69" s="74" t="inlineStr">
        <is>
          <t>ESPECIAL</t>
        </is>
      </c>
      <c r="E69" s="75" t="inlineStr">
        <is>
          <t>Alta</t>
        </is>
      </c>
      <c r="F69" s="73" t="inlineStr">
        <is>
          <t>Pago recien confirmado, conexion activa</t>
        </is>
      </c>
      <c r="G69" s="73" t="inlineStr">
        <is>
          <t>No - tarjeta 'Not challenge' (se aprueba sin reto)</t>
        </is>
      </c>
      <c r="H69"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Desconectar el internet inmediatamente
7. Reconectar despues de unos segundos y revisar el resultado</t>
        </is>
      </c>
      <c r="I69" s="73" t="inlineStr">
        <is>
          <t>VISA 4111 1111 1111 1111</t>
        </is>
      </c>
      <c r="J69" s="73" t="inlineStr">
        <is>
          <t>El sistema no cobra dos veces; al reconectar muestra el resultado real y final del pago</t>
        </is>
      </c>
      <c r="K69" s="73" t="n"/>
      <c r="L69" s="73" t="inlineStr">
        <is>
          <t>Pendiente</t>
        </is>
      </c>
      <c r="M69" s="73" t="inlineStr">
        <is>
          <t>[Revision 29/09/2026] Pasos actualizados al flujo real (referencia / linea de captura)</t>
        </is>
      </c>
      <c r="N69" s="73" t="inlineStr">
        <is>
          <t>Automatizada</t>
        </is>
      </c>
    </row>
    <row r="70" ht="75" customHeight="1" s="32">
      <c r="A70" s="73" t="inlineStr">
        <is>
          <t>TC-BP-043</t>
        </is>
      </c>
      <c r="B70" s="73" t="inlineStr">
        <is>
          <t>08. Casos Especiales de Navegacion (usuario con poco conocimiento tecnico)</t>
        </is>
      </c>
      <c r="C70" s="73" t="inlineStr">
        <is>
          <t>Dar doble clic o clics rapidos y repetidos en el boton de pagar</t>
        </is>
      </c>
      <c r="D70" s="74" t="inlineStr">
        <is>
          <t>ESPECIAL</t>
        </is>
      </c>
      <c r="E70" s="75" t="inlineStr">
        <is>
          <t>Alta</t>
        </is>
      </c>
      <c r="F70" s="73" t="inlineStr">
        <is>
          <t>Los Pasos 1 (Contacto) y 2 (Direccion) fueron completados y confirmados correctamente</t>
        </is>
      </c>
      <c r="G70" s="73" t="inlineStr">
        <is>
          <t>No - tarjeta 'Not challenge' (se aprueba sin reto)</t>
        </is>
      </c>
      <c r="H7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dar varios clics rapidos y seguidos en 'Continuar'
6. Revisar el resultado</t>
        </is>
      </c>
      <c r="I70" s="73" t="inlineStr">
        <is>
          <t>VISA 4111 1111 1111 1111</t>
        </is>
      </c>
      <c r="J70" s="73" t="inlineStr">
        <is>
          <t>El sistema solo procesa un pago; no se generan cobros duplicados</t>
        </is>
      </c>
      <c r="K70" s="73" t="n"/>
      <c r="L70" s="73" t="inlineStr">
        <is>
          <t>Pendiente</t>
        </is>
      </c>
      <c r="M70" s="73" t="inlineStr">
        <is>
          <t>Muy comun en usuarios que no ven respuesta inmediata y vuelven a picarle
[Revision 29/09/2026] Pasos actualizados al flujo real (referencia / linea de captura)</t>
        </is>
      </c>
      <c r="N70" s="73" t="inlineStr">
        <is>
          <t>Automatizada</t>
        </is>
      </c>
    </row>
    <row r="71" ht="105" customHeight="1" s="32">
      <c r="A71" s="73" t="inlineStr">
        <is>
          <t>TC-BP-044</t>
        </is>
      </c>
      <c r="B71" s="73" t="inlineStr">
        <is>
          <t>08. Casos Especiales de Navegacion (usuario con poco conocimiento tecnico)</t>
        </is>
      </c>
      <c r="C71" s="73" t="inlineStr">
        <is>
          <t>Dejar la pagina de pago abierta sin interactuar despues de empezar a llenar el formulario: el token no debe expirar</t>
        </is>
      </c>
      <c r="D71" s="74" t="inlineStr">
        <is>
          <t>ESPECIAL</t>
        </is>
      </c>
      <c r="E71" s="75" t="inlineStr">
        <is>
          <t>Media</t>
        </is>
      </c>
      <c r="F71" s="73" t="inlineStr">
        <is>
          <t>Cualquier paso del formulario con datos parcialmente capturados</t>
        </is>
      </c>
      <c r="G71" s="73" t="inlineStr">
        <is>
          <t>N/A</t>
        </is>
      </c>
      <c r="H71" s="73" t="inlineStr">
        <is>
          <t>1. Ingresar con la referencia o linea de captura (hoja 'Flujo Real', pasos 1 a 5) hasta ver el Paso 1 - Contacto
2. Paso 1 - Contacto: capturar telefono y correo validos y dar clic en 'Continuar'
3. Paso 2: capturar la direccion y no hacer nada durante 2 minutos o mas
4. Dar clic en 'Continuar'
5. Si el sistema indica que la referencia quedo en uso, revisar que el mensaje indique como solicitar su liberacion</t>
        </is>
      </c>
      <c r="I71" s="73" t="inlineStr">
        <is>
          <t>N/A</t>
        </is>
      </c>
      <c r="J71" s="73" t="inlineStr">
        <is>
          <t>El token NO expira por inactividad y se puede continuar sin perder lo capturado. Si la referencia queda bloqueada, el sistema indica que debe solicitar que la liberen; no se registra ningun cobro</t>
        </is>
      </c>
      <c r="K71" s="73" t="n"/>
      <c r="L71" s="73" t="inlineStr">
        <is>
          <t>Pendiente</t>
        </is>
      </c>
      <c r="M71" s="73" t="inlineStr">
        <is>
          <t>[Revision 29/09/2026] Comentario de revision: el token NO debe expirar; si la referencia queda en uso se debe solicitar su liberacion (reemplaza la regla anterior de generar un token nuevo).
Automatizacion: se vigila la pagina 120 s sin interactuar; si el token expira o el flujo se reinicia, el caso falla.</t>
        </is>
      </c>
      <c r="N71" s="73" t="inlineStr">
        <is>
          <t>Automatizada</t>
        </is>
      </c>
    </row>
    <row r="72" ht="90" customHeight="1" s="32">
      <c r="A72" s="73" t="inlineStr">
        <is>
          <t>TC-BP-045</t>
        </is>
      </c>
      <c r="B72" s="73" t="inlineStr">
        <is>
          <t>08. Casos Especiales de Navegacion (usuario con poco conocimiento tecnico)</t>
        </is>
      </c>
      <c r="C72" s="73" t="inlineStr">
        <is>
          <t>Volver a ingresar con la misma referencia mientras el pago anterior sigue en proceso (otra pestana/celular)</t>
        </is>
      </c>
      <c r="D72" s="74" t="inlineStr">
        <is>
          <t>ESPECIAL</t>
        </is>
      </c>
      <c r="E72" s="75" t="inlineStr">
        <is>
          <t>Media</t>
        </is>
      </c>
      <c r="F72" s="73" t="inlineStr">
        <is>
          <t>Pago en curso en otra sesion con la misma referencia</t>
        </is>
      </c>
      <c r="G72" s="73" t="inlineStr">
        <is>
          <t>Si - tarjeta 'Challenge' (el banco pide un codigo)</t>
        </is>
      </c>
      <c r="H72"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Pestana A: dar clic en 'Continuar' para pagar y dejarla en la pagina del banco (3D Secure)
6. Pestana B: ingresar con la misma referencia</t>
        </is>
      </c>
      <c r="I72" s="73" t="inlineStr">
        <is>
          <t>VISA 4110 7600 0000 0008 (el reto deja el pago en proceso)</t>
        </is>
      </c>
      <c r="J72" s="73" t="inlineStr">
        <is>
          <t>El sistema avisa que la referencia ya tiene un pago en proceso y no permite iniciar un segundo cobro</t>
        </is>
      </c>
      <c r="K72" s="73" t="n"/>
      <c r="L72" s="73" t="inlineStr">
        <is>
          <t>Pendiente</t>
        </is>
      </c>
      <c r="M72" s="73" t="inlineStr">
        <is>
          <t>[Act. 29/09/2026] Automatizacion: requiere una tarjeta que deje el pago en proceso (3DS) para abrir el link en paralelo
[Revision 29/09/2026] Pasos actualizados al flujo real (referencia / linea de captura)</t>
        </is>
      </c>
      <c r="N72" s="73" t="inlineStr">
        <is>
          <t>Automatizada</t>
        </is>
      </c>
    </row>
    <row r="73" ht="135" customHeight="1" s="32">
      <c r="A73" s="73" t="inlineStr">
        <is>
          <t>TC-BP-046</t>
        </is>
      </c>
      <c r="B73" s="73" t="inlineStr">
        <is>
          <t>08. Casos Especiales de Navegacion (usuario con poco conocimiento tecnico)</t>
        </is>
      </c>
      <c r="C73" s="73" t="inlineStr">
        <is>
          <t>Pegar un correo copiado con espacios de mas al inicio o al final</t>
        </is>
      </c>
      <c r="D73" s="74" t="inlineStr">
        <is>
          <t>ESPECIAL</t>
        </is>
      </c>
      <c r="E73" s="75" t="inlineStr">
        <is>
          <t>Baja</t>
        </is>
      </c>
      <c r="F73" s="73" t="inlineStr">
        <is>
          <t>Se ingreso con una referencia o linea de captura vigente y se muestra el Paso 1 - Contacto</t>
        </is>
      </c>
      <c r="G73" s="73" t="inlineStr">
        <is>
          <t>N/A</t>
        </is>
      </c>
      <c r="H73" s="73" t="inlineStr">
        <is>
          <t>1. Ingresar con la referencia o linea de captura (hoja 'Flujo Real', pasos 1 a 5) hasta ver el Paso 1 - Contacto
2. Copiar ' santiago.tapia@memphis.mx ' (con espacios) y pegarlo en el correo
3. Dar clic en 'Continuar'</t>
        </is>
      </c>
      <c r="I73" s="73" t="inlineStr">
        <is>
          <t>Correo con espacios extra</t>
        </is>
      </c>
      <c r="J73" s="73" t="inlineStr">
        <is>
          <t>El sistema quita los espacios automaticamente y valida bien el correo, o avisa el error de forma clara</t>
        </is>
      </c>
      <c r="K73" s="73" t="n"/>
      <c r="L73" s="73" t="inlineStr">
        <is>
          <t>Pendiente</t>
        </is>
      </c>
      <c r="M73" s="73" t="inlineStr">
        <is>
          <t>[Revision 29/09/2026] Pasos actualizados al flujo real (referencia / linea de captura)</t>
        </is>
      </c>
      <c r="N73" s="73" t="inlineStr">
        <is>
          <t>Automatizada</t>
        </is>
      </c>
    </row>
    <row r="74" ht="150" customHeight="1" s="32">
      <c r="A74" s="73" t="inlineStr">
        <is>
          <t>TC-BP-047</t>
        </is>
      </c>
      <c r="B74" s="73" t="inlineStr">
        <is>
          <t>09. Compatibilidad y Accesibilidad</t>
        </is>
      </c>
      <c r="C74" s="73" t="inlineStr">
        <is>
          <t>Completar el flujo de pago en distintos navegadores (Chrome, Edge, Safari)</t>
        </is>
      </c>
      <c r="D74" s="74" t="inlineStr">
        <is>
          <t>EXITO</t>
        </is>
      </c>
      <c r="E74" s="75" t="inlineStr">
        <is>
          <t>Media</t>
        </is>
      </c>
      <c r="F74" s="73" t="inlineStr">
        <is>
          <t>Se cuenta con una referencia o linea de captura vigente y sin pagar del Gobierno de Puebla</t>
        </is>
      </c>
      <c r="G74" s="73" t="inlineStr">
        <is>
          <t>N/A</t>
        </is>
      </c>
      <c r="H74" s="73" t="inlineStr">
        <is>
          <t>1. Repetir el flujo completo (hoja 'Flujo Real') en Chrome, Edge y Safari
2. Comparar pantallas y resultados</t>
        </is>
      </c>
      <c r="I74" s="73" t="inlineStr">
        <is>
          <t>Chrome / Edge / Safari</t>
        </is>
      </c>
      <c r="J74" s="73" t="inlineStr">
        <is>
          <t>El flujo se ve y funciona igual de bien en los tres navegadores, sin errores visuales ni de funcionamiento</t>
        </is>
      </c>
      <c r="K74" s="73" t="n"/>
      <c r="L74" s="73" t="inlineStr">
        <is>
          <t>Pendiente</t>
        </is>
      </c>
      <c r="M74" s="73" t="inlineStr">
        <is>
          <t>[Revision 29/09/2026] Pasos actualizados al flujo real (referencia / linea de captura)</t>
        </is>
      </c>
      <c r="N74" s="73" t="inlineStr">
        <is>
          <t>Manual</t>
        </is>
      </c>
    </row>
    <row r="75" ht="75" customHeight="1" s="32">
      <c r="A75" s="73" t="inlineStr">
        <is>
          <t>TC-BP-048</t>
        </is>
      </c>
      <c r="B75" s="73" t="inlineStr">
        <is>
          <t>09. Compatibilidad y Accesibilidad</t>
        </is>
      </c>
      <c r="C75" s="73" t="inlineStr">
        <is>
          <t>Completar el flujo de pago desde un celular</t>
        </is>
      </c>
      <c r="D75" s="74" t="inlineStr">
        <is>
          <t>EXITO</t>
        </is>
      </c>
      <c r="E75" s="75" t="inlineStr">
        <is>
          <t>Alta</t>
        </is>
      </c>
      <c r="F75" s="73" t="inlineStr">
        <is>
          <t>Se cuenta con una referencia o linea de captura vigente y sin pagar del Gobierno de Puebla</t>
        </is>
      </c>
      <c r="G75" s="73" t="inlineStr">
        <is>
          <t>No - tarjeta 'Not challenge' (se aprueba sin reto)</t>
        </is>
      </c>
      <c r="H75" s="73" t="inlineStr">
        <is>
          <t>1. Desde un celular Android o iPhone, repetir el flujo completo (hoja 'Flujo Real')
2. Revisar que cada pantalla se vea y se use bien</t>
        </is>
      </c>
      <c r="I75" s="73" t="inlineStr">
        <is>
          <t>Celular Android / iPhone / VISA 4111 1111 1111 1111</t>
        </is>
      </c>
      <c r="J75" s="73" t="inlineStr">
        <is>
          <t>La pagina se ve bien y es facil de usar en pantalla de celular; el flujo se completa sin problemas</t>
        </is>
      </c>
      <c r="K75" s="73" t="n"/>
      <c r="L75" s="73" t="inlineStr">
        <is>
          <t>Pendiente</t>
        </is>
      </c>
      <c r="M75" s="73" t="inlineStr">
        <is>
          <t>[Revision 29/09/2026] Pasos actualizados al flujo real (referencia / linea de captura)</t>
        </is>
      </c>
      <c r="N75" s="73" t="inlineStr">
        <is>
          <t>Automatizada (Android)</t>
        </is>
      </c>
    </row>
    <row r="76" ht="75" customHeight="1" s="32">
      <c r="A76" s="73" t="inlineStr">
        <is>
          <t>TC-BP-049</t>
        </is>
      </c>
      <c r="B76" s="73" t="inlineStr">
        <is>
          <t>09. Compatibilidad y Accesibilidad</t>
        </is>
      </c>
      <c r="C76" s="73" t="inlineStr">
        <is>
          <t>Verificar que los textos y botones sean legibles y faciles de entender para una persona sin experiencia con tecnologia</t>
        </is>
      </c>
      <c r="D76" s="74" t="inlineStr">
        <is>
          <t>EXITO</t>
        </is>
      </c>
      <c r="E76" s="75" t="inlineStr">
        <is>
          <t>Media</t>
        </is>
      </c>
      <c r="F76" s="73" t="inlineStr">
        <is>
          <t>Se cuenta con una referencia o linea de captura vigente y sin pagar del Gobierno de Puebla</t>
        </is>
      </c>
      <c r="G76" s="73" t="inlineStr">
        <is>
          <t>N/A</t>
        </is>
      </c>
      <c r="H76" s="73" t="inlineStr">
        <is>
          <t>1. Recorrer cada pantalla del flujo (portal, Pasos 1 a 4, 3D Secure y resultado)
2. Revisar tamano de letra, claridad de mensajes y botones</t>
        </is>
      </c>
      <c r="I76" s="73" t="inlineStr">
        <is>
          <t>N/A</t>
        </is>
      </c>
      <c r="J76" s="73" t="inlineStr">
        <is>
          <t>Los textos son claros, sin tecnicismos; los botones son grandes y faciles de identificar</t>
        </is>
      </c>
      <c r="K76" s="73" t="n"/>
      <c r="L76" s="73" t="inlineStr">
        <is>
          <t>Pendiente</t>
        </is>
      </c>
      <c r="M76" s="73" t="inlineStr">
        <is>
          <t>[Revision 29/09/2026] Pasos actualizados al flujo real (referencia / linea de captura)</t>
        </is>
      </c>
      <c r="N76" s="73" t="inlineStr">
        <is>
          <t>Manual</t>
        </is>
      </c>
    </row>
    <row r="77" ht="75" customHeight="1" s="32">
      <c r="A77" s="70" t="inlineStr">
        <is>
          <t>TC-BP-064</t>
        </is>
      </c>
      <c r="B77" s="70" t="inlineStr">
        <is>
          <t>10. Paso 4 - Confirmacion antes de pagar</t>
        </is>
      </c>
      <c r="C77" s="70" t="inlineStr">
        <is>
          <t>Verificar el resumen de informacion antes de pagar</t>
        </is>
      </c>
      <c r="D77" s="71" t="inlineStr">
        <is>
          <t>EXITO</t>
        </is>
      </c>
      <c r="E77" s="72" t="inlineStr">
        <is>
          <t>Alta</t>
        </is>
      </c>
      <c r="F77" s="70" t="inlineStr">
        <is>
          <t>Los Pasos 1, 2 y 3 fueron completados; se muestra el Paso 4 - 'Revisa tu informacion antes de pagar'</t>
        </is>
      </c>
      <c r="G77" s="70" t="inlineStr">
        <is>
          <t>N/A</t>
        </is>
      </c>
      <c r="H7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cada renglon del resumen contra lo capturado</t>
        </is>
      </c>
      <c r="I77" s="70" t="inlineStr">
        <is>
          <t>Datos del happy path / VISA 4111 1111 1111 1111</t>
        </is>
      </c>
      <c r="J77" s="70" t="inlineStr">
        <is>
          <t>El resumen muestra nombre completo, correo, telefono, direccion, ciudad y codigo postal iguales a lo capturado; pais y estado con su nombre (Mexico, Puebla); la tarjeta enmascarada (solo ultimos 4) y el vencimiento en formato MM/AA</t>
        </is>
      </c>
      <c r="K77" s="70" t="n"/>
      <c r="L77" s="70" t="inlineStr">
        <is>
          <t>Pendiente</t>
        </is>
      </c>
      <c r="M77" s="70" t="inlineStr">
        <is>
          <t>[CASO NUEVO] [Act. 29/09/2026] Observado: Pais y Estado se muestran como codigo ('MEX', 'PUE') en lugar del nombre; el vencimiento se muestra '1226' sin diagonal (se capturo 12/26)
[Revision 29/09/2026] Pasos actualizados al flujo real (referencia / linea de captura)</t>
        </is>
      </c>
      <c r="N77" s="70" t="inlineStr">
        <is>
          <t>Automatizada</t>
        </is>
      </c>
    </row>
    <row r="78" ht="135" customHeight="1" s="32">
      <c r="A78" s="70" t="inlineStr">
        <is>
          <t>TC-BP-065</t>
        </is>
      </c>
      <c r="B78" s="70" t="inlineStr">
        <is>
          <t>10. Paso 4 - Confirmacion antes de pagar</t>
        </is>
      </c>
      <c r="C78" s="70" t="inlineStr">
        <is>
          <t>Regresar desde el resumen y verificar que los datos se conserven</t>
        </is>
      </c>
      <c r="D78" s="71" t="inlineStr">
        <is>
          <t>ESPECIAL</t>
        </is>
      </c>
      <c r="E78" s="72" t="inlineStr">
        <is>
          <t>Media</t>
        </is>
      </c>
      <c r="F78" s="70" t="inlineStr">
        <is>
          <t>Los Pasos 1, 2 y 3 fueron completados; se muestra el Paso 4 - 'Revisa tu informacion antes de pagar'</t>
        </is>
      </c>
      <c r="G78" s="70" t="inlineStr">
        <is>
          <t>N/A</t>
        </is>
      </c>
      <c r="H78"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dar clic en 'Regresar' y revisar los datos del Paso 3
6. Regresar al Paso 2 y al Paso 1 y revisar sus datos
7. Avanzar de nuevo hasta el Paso 4</t>
        </is>
      </c>
      <c r="I78" s="70" t="inlineStr">
        <is>
          <t>N/A</t>
        </is>
      </c>
      <c r="J78" s="70" t="inlineStr">
        <is>
          <t>Los datos capturados en cada paso siguen ahi y se puede volver a avanzar al Paso 4</t>
        </is>
      </c>
      <c r="K78" s="70" t="n"/>
      <c r="L78" s="70" t="inlineStr">
        <is>
          <t>Pendiente</t>
        </is>
      </c>
      <c r="M78" s="70" t="inlineStr">
        <is>
          <t>[CASO NUEVO] [Revision 29/09/2026] Pasos actualizados al flujo real (referencia / linea de captura)</t>
        </is>
      </c>
      <c r="N78" s="70" t="inlineStr">
        <is>
          <t>Automatizada</t>
        </is>
      </c>
    </row>
    <row r="79" ht="15" customHeight="1" s="32">
      <c r="A79" s="73" t="inlineStr">
        <is>
          <t>TC-BP-066</t>
        </is>
      </c>
      <c r="B79" s="73" t="n"/>
      <c r="C79" s="73" t="n"/>
      <c r="D79" s="74" t="n"/>
      <c r="E79" s="75" t="n"/>
      <c r="F79" s="73" t="n"/>
      <c r="G79" s="73" t="n"/>
      <c r="H79" s="73" t="n"/>
      <c r="I79" s="73" t="n"/>
      <c r="J79" s="73" t="n"/>
      <c r="K79" s="73" t="n"/>
      <c r="L79" s="73" t="n"/>
      <c r="M79" s="73" t="n"/>
      <c r="N79" s="73" t="n"/>
    </row>
    <row r="80" ht="135" customHeight="1" s="32">
      <c r="A80" s="70" t="inlineStr">
        <is>
          <t>TC-BP-085</t>
        </is>
      </c>
      <c r="B80" s="70" t="inlineStr">
        <is>
          <t>11. Meses Sin Intereses (MSI)</t>
        </is>
      </c>
      <c r="C80" s="70" t="inlineStr">
        <is>
          <t>Pagar a 6 meses sin intereses</t>
        </is>
      </c>
      <c r="D80" s="71" t="inlineStr">
        <is>
          <t>EXITO</t>
        </is>
      </c>
      <c r="E80" s="72" t="inlineStr">
        <is>
          <t>Alta</t>
        </is>
      </c>
      <c r="F80" s="70" t="inlineStr">
        <is>
          <t>Referencia con meses sin intereses activo (plazo unico: 6 meses); tarjeta de credito participante</t>
        </is>
      </c>
      <c r="G80" s="70" t="inlineStr">
        <is>
          <t>No - tarjeta 'Not challenge' (se aprueba sin reto)</t>
        </is>
      </c>
      <c r="H80"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seleccionar '6 meses sin intereses'
6. Dar clic en 'Continuar' para pagar
7. Si el banco lo solicita, completar la autenticacion 3D Secure en la pagina del banco
8. Revisar el resultado
9. (Manual) Ingresar a Citeling y verificar que el pago aparezca con la referencia, importe, autorizacion, fecha y tipo de pago</t>
        </is>
      </c>
      <c r="I80" s="70" t="inlineStr">
        <is>
          <t>Tarjeta de credito participante / Plazo: 6 meses / VISA 4111 1111 1111 1111</t>
        </is>
      </c>
      <c r="J80" s="70" t="inlineStr">
        <is>
          <t>Se muestra 'Transaccion aprobada'; en Citeling el pago aparece con tipo de pago MSI (t_pago 07 u 08) y plazo de 6 meses</t>
        </is>
      </c>
      <c r="K80" s="70" t="n"/>
      <c r="L80" s="70" t="inlineStr">
        <is>
          <t>Bloqueado</t>
        </is>
      </c>
      <c r="M80" s="70" t="inlineStr">
        <is>
          <t>[CASO NUEVO]
[Revision 29/09/2026] Bloqueado: la opcion de meses sin intereses aun no esta habilitada; el unico plazo sera 6 meses</t>
        </is>
      </c>
      <c r="N80" s="70" t="inlineStr">
        <is>
          <t>Por automatizar (bloqueado: MSI no habilitado)</t>
        </is>
      </c>
    </row>
    <row r="81" ht="75" customHeight="1" s="32">
      <c r="A81" s="70" t="inlineStr">
        <is>
          <t>TC-BP-086</t>
        </is>
      </c>
      <c r="B81" s="70" t="inlineStr">
        <is>
          <t>11. Meses Sin Intereses (MSI)</t>
        </is>
      </c>
      <c r="C81" s="70" t="inlineStr">
        <is>
          <t>Pagar sin meses (de contado) con la opcion de meses activa</t>
        </is>
      </c>
      <c r="D81" s="71" t="inlineStr">
        <is>
          <t>EXITO</t>
        </is>
      </c>
      <c r="E81" s="72" t="inlineStr">
        <is>
          <t>Alta</t>
        </is>
      </c>
      <c r="F81" s="70" t="inlineStr">
        <is>
          <t>Referencia con meses sin intereses activo (plazo unico: 6 meses); tarjeta de credito participante</t>
        </is>
      </c>
      <c r="G81" s="70" t="inlineStr">
        <is>
          <t>No - tarjeta 'Not challenge' (se aprueba sin reto)</t>
        </is>
      </c>
      <c r="H81"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verificar que se muestren las opciones de meses
6. Elegir pagar de contado / sin meses
7. Dar clic en 'Continuar' para pagar
8. Si el banco lo solicita, completar la autenticacion 3D Secure en la pagina del banco
9. Revisar el resultado
10. (Manual) Ingresar a Citeling y verificar que el pago aparezca con la referencia, importe, autorizacion, fecha y tipo de pago</t>
        </is>
      </c>
      <c r="I81" s="70" t="inlineStr">
        <is>
          <t>Tarjeta de credito participante / Sin meses / VISA 4111 1111 1111 1111</t>
        </is>
      </c>
      <c r="J81" s="70" t="inlineStr">
        <is>
          <t>Se muestra 'Transaccion aprobada'; en Citeling el pago aparece como pago con tarjeta (t_pago 01) sin plazo</t>
        </is>
      </c>
      <c r="K81" s="70" t="n"/>
      <c r="L81" s="70" t="inlineStr">
        <is>
          <t>Bloqueado</t>
        </is>
      </c>
      <c r="M81" s="70" t="inlineStr">
        <is>
          <t>[CASO NUEVO]
[Revision 29/09/2026] Bloqueado: la opcion de meses sin intereses aun no esta habilitada; el unico plazo sera 6 meses</t>
        </is>
      </c>
      <c r="N81" s="70" t="inlineStr">
        <is>
          <t>Por automatizar (bloqueado: MSI no habilitado)</t>
        </is>
      </c>
    </row>
    <row r="82" ht="15" customHeight="1" s="32">
      <c r="A82" s="73" t="inlineStr">
        <is>
          <t>TC-BP-087</t>
        </is>
      </c>
      <c r="B82" s="73" t="n"/>
      <c r="C82" s="73" t="n"/>
      <c r="D82" s="74" t="n"/>
      <c r="E82" s="75" t="n"/>
      <c r="F82" s="73" t="n"/>
      <c r="G82" s="73" t="n"/>
      <c r="H82" s="73" t="n"/>
      <c r="I82" s="73" t="n"/>
      <c r="J82" s="73" t="n"/>
      <c r="K82" s="73" t="n"/>
      <c r="L82" s="73" t="n"/>
      <c r="M82" s="73" t="n"/>
      <c r="N82" s="73" t="n"/>
    </row>
    <row r="83" ht="105" customHeight="1" s="32">
      <c r="A83" s="70" t="inlineStr">
        <is>
          <t>TC-BP-088</t>
        </is>
      </c>
      <c r="B83" s="70" t="inlineStr">
        <is>
          <t>11. Meses Sin Intereses (MSI)</t>
        </is>
      </c>
      <c r="C83" s="70" t="inlineStr">
        <is>
          <t>Referencia sin meses configurados: no se ofrece la opcion</t>
        </is>
      </c>
      <c r="D83" s="71" t="inlineStr">
        <is>
          <t>EXITO</t>
        </is>
      </c>
      <c r="E83" s="72" t="inlineStr">
        <is>
          <t>Media</t>
        </is>
      </c>
      <c r="F83" s="70" t="inlineStr">
        <is>
          <t>Referencia con financiamiento no aplicable (val_9 = 2)</t>
        </is>
      </c>
      <c r="G83" s="70" t="inlineStr">
        <is>
          <t>N/A</t>
        </is>
      </c>
      <c r="H83"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que no aparezcan opciones de meses</t>
        </is>
      </c>
      <c r="I83" s="70" t="inlineStr">
        <is>
          <t>Referencia sin MSI</t>
        </is>
      </c>
      <c r="J83" s="70" t="inlineStr">
        <is>
          <t>El Paso 4 no muestra opciones de meses y el pago se procesa de contado</t>
        </is>
      </c>
      <c r="K83" s="70" t="n"/>
      <c r="L83" s="70" t="inlineStr">
        <is>
          <t>Bloqueado</t>
        </is>
      </c>
      <c r="M83" s="70" t="inlineStr">
        <is>
          <t>[CASO NUEVO]
[Revision 29/09/2026] Bloqueado: la opcion de meses sin intereses aun no esta habilitada; el unico plazo sera 6 meses</t>
        </is>
      </c>
      <c r="N83" s="70" t="inlineStr">
        <is>
          <t>Por automatizar (bloqueado: MSI no habilitado)</t>
        </is>
      </c>
    </row>
    <row r="84" ht="105" customHeight="1" s="32">
      <c r="A84" s="70" t="inlineStr">
        <is>
          <t>TC-BP-089</t>
        </is>
      </c>
      <c r="B84" s="70" t="inlineStr">
        <is>
          <t>11. Meses Sin Intereses (MSI)</t>
        </is>
      </c>
      <c r="C84" s="70" t="inlineStr">
        <is>
          <t>Tarjeta de debito con la opcion de meses activa</t>
        </is>
      </c>
      <c r="D84" s="71" t="inlineStr">
        <is>
          <t>ESPECIAL</t>
        </is>
      </c>
      <c r="E84" s="72" t="inlineStr">
        <is>
          <t>Media</t>
        </is>
      </c>
      <c r="F84" s="70" t="inlineStr">
        <is>
          <t>Referencia con meses sin intereses activo (plazo unico: 6 meses)</t>
        </is>
      </c>
      <c r="G84" s="70" t="inlineStr">
        <is>
          <t>N/A</t>
        </is>
      </c>
      <c r="H84"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una tarjeta de debito valida y dar clic en 'Continuar'
5. Paso 4: revisar las opciones de meses</t>
        </is>
      </c>
      <c r="I84" s="70" t="inlineStr">
        <is>
          <t>Tarjeta de debito</t>
        </is>
      </c>
      <c r="J84" s="70" t="inlineStr">
        <is>
          <t>No se ofrecen meses para tarjeta de debito (o se muestra un mensaje claro) y se permite pagar de contado</t>
        </is>
      </c>
      <c r="K84" s="70" t="n"/>
      <c r="L84" s="70" t="inlineStr">
        <is>
          <t>Bloqueado</t>
        </is>
      </c>
      <c r="M84" s="70" t="inlineStr">
        <is>
          <t>[CASO NUEVO]
[Revision 29/09/2026] Bloqueado: la opcion de meses sin intereses aun no esta habilitada; el unico plazo sera 6 meses</t>
        </is>
      </c>
      <c r="N84" s="70" t="inlineStr">
        <is>
          <t>Por automatizar (bloqueado: MSI no habilitado)</t>
        </is>
      </c>
    </row>
    <row r="85" ht="75" customHeight="1" s="32">
      <c r="A85" s="70" t="inlineStr">
        <is>
          <t>TC-BP-090</t>
        </is>
      </c>
      <c r="B85" s="70" t="inlineStr">
        <is>
          <t>12. Importes menores a $1,000</t>
        </is>
      </c>
      <c r="C85" s="70" t="inlineStr">
        <is>
          <t>Flujo completo con un importe menor a $1,000</t>
        </is>
      </c>
      <c r="D85" s="71" t="inlineStr">
        <is>
          <t>EXITO</t>
        </is>
      </c>
      <c r="E85" s="72" t="inlineStr">
        <is>
          <t>Alta</t>
        </is>
      </c>
      <c r="F85" s="70" t="inlineStr">
        <is>
          <t>Referencia o linea de captura vigente con importe menor a $1,000 (ej. $131.20)</t>
        </is>
      </c>
      <c r="G85" s="70" t="inlineStr">
        <is>
          <t>No - tarjeta 'Not challenge' (se aprueba sin reto)</t>
        </is>
      </c>
      <c r="H85"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verificar el importe en el resumen
6. Paso 4 - Pago: revisar el resumen y dar clic en 'Continuar' para pagar
7. Si el banco lo solicita, completar la autenticacion 3D Secure en la pagina del banco
8. Revisar el resultado
9. (Manual) Ingresar a Citeling y verificar que el pago aparezca con la referencia, importe, autorizacion, fecha y tipo de pago</t>
        </is>
      </c>
      <c r="I85" s="70" t="inlineStr">
        <is>
          <t>Importe: $131.20 / VISA 4111 1111 1111 1111</t>
        </is>
      </c>
      <c r="J85" s="70" t="inlineStr">
        <is>
          <t>El pago se aprueba y el importe es exactamente el mismo en el encabezado, el resultado y Citeling</t>
        </is>
      </c>
      <c r="K85" s="70" t="n"/>
      <c r="L85" s="70" t="inlineStr">
        <is>
          <t>Pendiente</t>
        </is>
      </c>
      <c r="M85" s="70" t="inlineStr">
        <is>
          <t>[CASO NUEVO]</t>
        </is>
      </c>
      <c r="N85" s="70" t="inlineStr">
        <is>
          <t>Mixta (automatizada + Citeling manual)</t>
        </is>
      </c>
    </row>
    <row r="86" ht="75" customHeight="1" s="32">
      <c r="A86" s="70" t="inlineStr">
        <is>
          <t>TC-BP-091</t>
        </is>
      </c>
      <c r="B86" s="70" t="inlineStr">
        <is>
          <t>12. Importes menores a $1,000</t>
        </is>
      </c>
      <c r="C86" s="70" t="inlineStr">
        <is>
          <t>Importe menor a $1,000 con la opcion de meses activa</t>
        </is>
      </c>
      <c r="D86" s="71" t="inlineStr">
        <is>
          <t>ESPECIAL</t>
        </is>
      </c>
      <c r="E86" s="72" t="inlineStr">
        <is>
          <t>Media</t>
        </is>
      </c>
      <c r="F86" s="70" t="inlineStr">
        <is>
          <t>Referencia con importe menor a $1,000 y financiamiento activo (val_9 = 1)</t>
        </is>
      </c>
      <c r="G86" s="70" t="inlineStr">
        <is>
          <t>N/A</t>
        </is>
      </c>
      <c r="H86"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si se ofrecen meses sin intereses</t>
        </is>
      </c>
      <c r="I86" s="70" t="inlineStr">
        <is>
          <t>Importe: $131.20 / MSI activo</t>
        </is>
      </c>
      <c r="J86" s="70" t="inlineStr">
        <is>
          <t>Se aplica la regla de monto minimo para 6 meses sin intereses definida por negocio/banco (si no se alcanza, no se ofrece la opcion)</t>
        </is>
      </c>
      <c r="K86" s="70" t="n"/>
      <c r="L86" s="70" t="inlineStr">
        <is>
          <t>Bloqueado</t>
        </is>
      </c>
      <c r="M86" s="70" t="inlineStr">
        <is>
          <t>[CASO NUEVO] Por confirmar con negocio el monto minimo para MSI
[Revision 29/09/2026] Bloqueado: la opcion de meses sin intereses aun no esta habilitada; el unico plazo sera 6 meses</t>
        </is>
      </c>
      <c r="N86" s="70" t="inlineStr">
        <is>
          <t>Por automatizar (bloqueado: MSI no habilitado)</t>
        </is>
      </c>
    </row>
    <row r="87" ht="15" customHeight="1" s="32">
      <c r="A87" s="73" t="inlineStr">
        <is>
          <t>TC-BP-092</t>
        </is>
      </c>
      <c r="B87" s="73" t="n"/>
      <c r="C87" s="73" t="n"/>
      <c r="D87" s="74" t="n"/>
      <c r="E87" s="75" t="n"/>
      <c r="F87" s="73" t="n"/>
      <c r="G87" s="73" t="n"/>
      <c r="H87" s="73" t="n"/>
      <c r="I87" s="73" t="n"/>
      <c r="J87" s="73" t="n"/>
      <c r="K87" s="73" t="n"/>
      <c r="L87" s="73" t="n"/>
      <c r="M87" s="73" t="n"/>
      <c r="N87" s="73" t="n"/>
    </row>
    <row r="88" ht="75" customHeight="1" s="32">
      <c r="A88" s="70" t="inlineStr">
        <is>
          <t>TC-BP-070</t>
        </is>
      </c>
      <c r="B88" s="70" t="inlineStr">
        <is>
          <t>13. Datos No Existentes y Reintentar</t>
        </is>
      </c>
      <c r="C88" s="70" t="inlineStr">
        <is>
          <t>Capturar una referencia que no existe</t>
        </is>
      </c>
      <c r="D88" s="71" t="inlineStr">
        <is>
          <t>ERROR</t>
        </is>
      </c>
      <c r="E88" s="72" t="inlineStr">
        <is>
          <t>Alta</t>
        </is>
      </c>
      <c r="F88" s="70" t="inlineStr">
        <is>
          <t>Portal de pagos del Gobierno en 'Pago de predial'</t>
        </is>
      </c>
      <c r="G88" s="70" t="inlineStr">
        <is>
          <t>N/A</t>
        </is>
      </c>
      <c r="H88" s="70" t="inlineStr">
        <is>
          <t>1. Entrar al portal &gt; 'Predial'
2. Capturar una referencia con formato valido que no existe
3. Capturar el captcha y dar clic en 'Consultar'
4. Revisar el mensaje y volver a intentar con una referencia valida</t>
        </is>
      </c>
      <c r="I88" s="70" t="inlineStr">
        <is>
          <t>Referencia inexistente</t>
        </is>
      </c>
      <c r="J88" s="70" t="inlineStr">
        <is>
          <t>Se muestra un mensaje claro de referencia no encontrada, no se permite pagar y se puede corregir e intentar de nuevo</t>
        </is>
      </c>
      <c r="K88" s="70" t="n"/>
      <c r="L88" s="70" t="inlineStr">
        <is>
          <t>Pendiente</t>
        </is>
      </c>
      <c r="M88" s="70" t="inlineStr">
        <is>
          <t>[CASO NUEVO]</t>
        </is>
      </c>
      <c r="N88" s="70" t="inlineStr">
        <is>
          <t>Por automatizar</t>
        </is>
      </c>
    </row>
    <row r="89" ht="15" customHeight="1" s="32">
      <c r="A89" s="73" t="inlineStr">
        <is>
          <t>TC-BP-071</t>
        </is>
      </c>
      <c r="B89" s="73" t="n"/>
      <c r="C89" s="73" t="n"/>
      <c r="D89" s="74" t="n"/>
      <c r="E89" s="75" t="n"/>
      <c r="F89" s="73" t="n"/>
      <c r="G89" s="73" t="n"/>
      <c r="H89" s="73" t="n"/>
      <c r="I89" s="73" t="n"/>
      <c r="J89" s="73" t="n"/>
      <c r="K89" s="73" t="n"/>
      <c r="L89" s="73" t="n"/>
      <c r="M89" s="73" t="n"/>
      <c r="N89" s="73" t="n"/>
    </row>
    <row r="90" ht="15" customHeight="1" s="32">
      <c r="A90" s="73" t="inlineStr">
        <is>
          <t>TC-BP-072</t>
        </is>
      </c>
      <c r="B90" s="73" t="n"/>
      <c r="C90" s="73" t="n"/>
      <c r="D90" s="74" t="n"/>
      <c r="E90" s="75" t="n"/>
      <c r="F90" s="73" t="n"/>
      <c r="G90" s="73" t="n"/>
      <c r="H90" s="73" t="n"/>
      <c r="I90" s="73" t="n"/>
      <c r="J90" s="73" t="n"/>
      <c r="K90" s="73" t="n"/>
      <c r="L90" s="73" t="n"/>
      <c r="M90" s="73" t="n"/>
      <c r="N90" s="73" t="n"/>
    </row>
    <row r="91" ht="75" customHeight="1" s="32">
      <c r="A91" s="70" t="inlineStr">
        <is>
          <t>TC-BP-073</t>
        </is>
      </c>
      <c r="B91" s="70" t="inlineStr">
        <is>
          <t>13. Datos No Existentes y Reintentar</t>
        </is>
      </c>
      <c r="C91" s="70" t="inlineStr">
        <is>
          <t>Reintentar despues de una tarjeta inexistente y pagar con una tarjeta valida</t>
        </is>
      </c>
      <c r="D91" s="71" t="inlineStr">
        <is>
          <t>EXITO</t>
        </is>
      </c>
      <c r="E91" s="72" t="inlineStr">
        <is>
          <t>Alta</t>
        </is>
      </c>
      <c r="F91" s="70" t="inlineStr">
        <is>
          <t>Primer intento rechazado por tarjeta inexistente (TC-BP-072)</t>
        </is>
      </c>
      <c r="G91" s="70" t="inlineStr">
        <is>
          <t>Si - primero tarjeta inexistente y despues 'Not challenge'</t>
        </is>
      </c>
      <c r="H91" s="70" t="inlineStr">
        <is>
          <t>1. Obtener 'Transaccion rechazada' con una tarjeta inexistente (TC-BP-072)
2. Dar clic en 'Reintentar'
3. Verificar que regrese al Paso 1 con la misma referencia
4. Completar los Pasos 1 a 3 con una tarjeta valida
5. Paso 4 - Pago: revisar el resumen y dar clic en 'Continuar' para pagar
6. Si el banco lo solicita, completar la autenticacion 3D Secure en la pagina del banco
7. (Manual) Ingresar a Citeling y verificar que el pago aparezca con la referencia, importe, autorizacion, fecha y tipo de pago</t>
        </is>
      </c>
      <c r="I91" s="70" t="inlineStr">
        <is>
          <t>Tarjeta inexistente y despues VISA 4111 1111 1111 1111</t>
        </is>
      </c>
      <c r="J91" s="70" t="inlineStr">
        <is>
          <t>El reintento conserva la referencia, el segundo pago se aprueba y en Citeling solo aparece un pago</t>
        </is>
      </c>
      <c r="K91" s="70" t="n"/>
      <c r="L91" s="70" t="inlineStr">
        <is>
          <t>Pendiente</t>
        </is>
      </c>
      <c r="M91" s="70" t="inlineStr">
        <is>
          <t>[CASO NUEVO]</t>
        </is>
      </c>
      <c r="N91" s="70" t="inlineStr">
        <is>
          <t>Mixta (automatizada + Citeling manual)</t>
        </is>
      </c>
    </row>
    <row r="92" ht="15" customHeight="1" s="32">
      <c r="A92" s="73" t="inlineStr">
        <is>
          <t>TC-BP-074</t>
        </is>
      </c>
      <c r="B92" s="73" t="n"/>
      <c r="C92" s="73" t="n"/>
      <c r="D92" s="74" t="n"/>
      <c r="E92" s="75" t="n"/>
      <c r="F92" s="73" t="n"/>
      <c r="G92" s="73" t="n"/>
      <c r="H92" s="73" t="n"/>
      <c r="I92" s="73" t="n"/>
      <c r="J92" s="73" t="n"/>
      <c r="K92" s="73" t="n"/>
      <c r="L92" s="73" t="n"/>
      <c r="M92" s="73" t="n"/>
      <c r="N92" s="73" t="n"/>
    </row>
    <row r="93" ht="15" customHeight="1" s="32">
      <c r="A93" s="73" t="inlineStr">
        <is>
          <t>TC-BP-075</t>
        </is>
      </c>
      <c r="B93" s="73" t="n"/>
      <c r="C93" s="73" t="n"/>
      <c r="D93" s="74" t="n"/>
      <c r="E93" s="75" t="n"/>
      <c r="F93" s="73" t="n"/>
      <c r="G93" s="73" t="n"/>
      <c r="H93" s="73" t="n"/>
      <c r="I93" s="73" t="n"/>
      <c r="J93" s="73" t="n"/>
      <c r="K93" s="73" t="n"/>
      <c r="L93" s="73" t="n"/>
      <c r="M93" s="73" t="n"/>
      <c r="N93" s="73" t="n"/>
    </row>
    <row r="94" ht="15" customHeight="1" s="32">
      <c r="A94" s="73" t="inlineStr">
        <is>
          <t>TC-BP-076</t>
        </is>
      </c>
      <c r="B94" s="73" t="n"/>
      <c r="C94" s="73" t="n"/>
      <c r="D94" s="74" t="n"/>
      <c r="E94" s="75" t="n"/>
      <c r="F94" s="73" t="n"/>
      <c r="G94" s="73" t="n"/>
      <c r="H94" s="73" t="n"/>
      <c r="I94" s="73" t="n"/>
      <c r="J94" s="73" t="n"/>
      <c r="K94" s="73" t="n"/>
      <c r="L94" s="73" t="n"/>
      <c r="M94" s="73" t="n"/>
      <c r="N94" s="73" t="n"/>
    </row>
    <row r="95" ht="15" customHeight="1" s="32">
      <c r="A95" s="73" t="inlineStr">
        <is>
          <t>TC-BP-077</t>
        </is>
      </c>
      <c r="B95" s="73" t="n"/>
      <c r="C95" s="73" t="n"/>
      <c r="D95" s="74" t="n"/>
      <c r="E95" s="75" t="n"/>
      <c r="F95" s="73" t="n"/>
      <c r="G95" s="73" t="n"/>
      <c r="H95" s="73" t="n"/>
      <c r="I95" s="73" t="n"/>
      <c r="J95" s="73" t="n"/>
      <c r="K95" s="73" t="n"/>
      <c r="L95" s="73" t="n"/>
      <c r="M95" s="73" t="n"/>
      <c r="N95" s="73" t="n"/>
    </row>
    <row r="96" ht="15" customHeight="1" s="32">
      <c r="A96" s="73" t="inlineStr">
        <is>
          <t>TC-BP-078</t>
        </is>
      </c>
      <c r="B96" s="73" t="n"/>
      <c r="C96" s="73" t="n"/>
      <c r="D96" s="74" t="n"/>
      <c r="E96" s="75" t="n"/>
      <c r="F96" s="73" t="n"/>
      <c r="G96" s="73" t="n"/>
      <c r="H96" s="73" t="n"/>
      <c r="I96" s="73" t="n"/>
      <c r="J96" s="73" t="n"/>
      <c r="K96" s="73" t="n"/>
      <c r="L96" s="73" t="n"/>
      <c r="M96" s="73" t="n"/>
      <c r="N96" s="73" t="n"/>
    </row>
    <row r="97" ht="15" customHeight="1" s="32">
      <c r="A97" s="73" t="inlineStr">
        <is>
          <t>TC-BP-079</t>
        </is>
      </c>
      <c r="B97" s="73" t="n"/>
      <c r="C97" s="73" t="n"/>
      <c r="D97" s="74" t="n"/>
      <c r="E97" s="75" t="n"/>
      <c r="F97" s="73" t="n"/>
      <c r="G97" s="73" t="n"/>
      <c r="H97" s="73" t="n"/>
      <c r="I97" s="73" t="n"/>
      <c r="J97" s="73" t="n"/>
      <c r="K97" s="73" t="n"/>
      <c r="L97" s="73" t="n"/>
      <c r="M97" s="73" t="n"/>
      <c r="N97" s="73" t="n"/>
    </row>
    <row r="98" ht="15" customHeight="1" s="32">
      <c r="A98" s="73" t="inlineStr">
        <is>
          <t>TC-BP-080</t>
        </is>
      </c>
      <c r="B98" s="73" t="n"/>
      <c r="C98" s="73" t="n"/>
      <c r="D98" s="74" t="n"/>
      <c r="E98" s="75" t="n"/>
      <c r="F98" s="73" t="n"/>
      <c r="G98" s="73" t="n"/>
      <c r="H98" s="73" t="n"/>
      <c r="I98" s="73" t="n"/>
      <c r="J98" s="73" t="n"/>
      <c r="K98" s="73" t="n"/>
      <c r="L98" s="73" t="n"/>
      <c r="M98" s="73" t="n"/>
      <c r="N98" s="73" t="n"/>
    </row>
    <row r="99" ht="15" customHeight="1" s="32">
      <c r="A99" s="73" t="inlineStr">
        <is>
          <t>TC-BP-081</t>
        </is>
      </c>
      <c r="B99" s="73" t="n"/>
      <c r="C99" s="73" t="n"/>
      <c r="D99" s="74" t="n"/>
      <c r="E99" s="75" t="n"/>
      <c r="F99" s="73" t="n"/>
      <c r="G99" s="73" t="n"/>
      <c r="H99" s="73" t="n"/>
      <c r="I99" s="73" t="n"/>
      <c r="J99" s="73" t="n"/>
      <c r="K99" s="73" t="n"/>
      <c r="L99" s="73" t="n"/>
      <c r="M99" s="73" t="n"/>
      <c r="N99" s="73" t="n"/>
    </row>
    <row r="100" ht="15" customHeight="1" s="32">
      <c r="A100" s="73" t="inlineStr">
        <is>
          <t>TC-BP-082</t>
        </is>
      </c>
      <c r="B100" s="73" t="n"/>
      <c r="C100" s="73" t="n"/>
      <c r="D100" s="74" t="n"/>
      <c r="E100" s="75" t="n"/>
      <c r="F100" s="73" t="n"/>
      <c r="G100" s="73" t="n"/>
      <c r="H100" s="73" t="n"/>
      <c r="I100" s="73" t="n"/>
      <c r="J100" s="73" t="n"/>
      <c r="K100" s="73" t="n"/>
      <c r="L100" s="73" t="n"/>
      <c r="M100" s="73" t="n"/>
      <c r="N100" s="73" t="n"/>
    </row>
    <row r="101" ht="15" customHeight="1" s="32">
      <c r="A101" s="73" t="inlineStr">
        <is>
          <t>TC-BP-083</t>
        </is>
      </c>
      <c r="B101" s="73" t="n"/>
      <c r="C101" s="73" t="n"/>
      <c r="D101" s="74" t="n"/>
      <c r="E101" s="75" t="n"/>
      <c r="F101" s="73" t="n"/>
      <c r="G101" s="73" t="n"/>
      <c r="H101" s="73" t="n"/>
      <c r="I101" s="73" t="n"/>
      <c r="J101" s="73" t="n"/>
      <c r="K101" s="73" t="n"/>
      <c r="L101" s="73" t="n"/>
      <c r="M101" s="73" t="n"/>
      <c r="N101" s="73" t="n"/>
    </row>
    <row r="102" ht="15" customHeight="1" s="32">
      <c r="A102" s="73" t="inlineStr">
        <is>
          <t>TC-BP-084</t>
        </is>
      </c>
      <c r="B102" s="73" t="n"/>
      <c r="C102" s="73" t="n"/>
      <c r="D102" s="74" t="n"/>
      <c r="E102" s="75" t="n"/>
      <c r="F102" s="73" t="n"/>
      <c r="G102" s="73" t="n"/>
      <c r="H102" s="73" t="n"/>
      <c r="I102" s="73" t="n"/>
      <c r="J102" s="73" t="n"/>
      <c r="K102" s="73" t="n"/>
      <c r="L102" s="73" t="n"/>
      <c r="M102" s="73" t="n"/>
      <c r="N102" s="73" t="n"/>
    </row>
  </sheetData>
  <autoFilter ref="A1:N102"/>
  <dataValidations count="1">
    <dataValidation sqref="L2:L302" showDropDown="0" showInputMessage="0" showErrorMessage="0" allowBlank="1" type="list">
      <formula1>"Pendiente,En Ejecucion,Aprobado,Fallido,Bloqueado,No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B2:G1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style="32" min="1" max="1"/>
    <col width="14" customWidth="1" style="32" min="2" max="2"/>
    <col width="24" customWidth="1" style="32" min="3" max="3"/>
    <col width="20" customWidth="1" style="32" min="4" max="4"/>
    <col width="44" customWidth="1" style="32" min="5" max="5"/>
    <col width="30" customWidth="1" style="32" min="6" max="6"/>
    <col width="55" customWidth="1" style="32" min="7" max="7"/>
  </cols>
  <sheetData>
    <row r="2">
      <c r="B2" s="77" t="inlineStr">
        <is>
          <t>Tarjetas de prueba 3D Secure (sandbox): usar la del tipo que pide cada caso</t>
        </is>
      </c>
    </row>
    <row r="3" ht="32" customHeight="1" s="32">
      <c r="B3" s="80" t="inlineStr">
        <is>
          <t>Vencimiento: cualquier fecha futura (ej. 12/30). CVV: cualquier 3 digitos (ej. 123). Casos SIN 3DS = 'Not challenge'. Casos CON 3DS = 'Challenge' (el tester captura el codigo del reto en la pagina del banco).</t>
        </is>
      </c>
    </row>
    <row r="5">
      <c r="B5" s="78" t="inlineStr">
        <is>
          <t>Marca</t>
        </is>
      </c>
      <c r="C5" s="78" t="inlineStr">
        <is>
          <t>Numero</t>
        </is>
      </c>
      <c r="D5" s="78" t="inlineStr">
        <is>
          <t>Tipo 3DS</t>
        </is>
      </c>
      <c r="E5" s="78" t="inlineStr">
        <is>
          <t>Comportamiento esperado</t>
        </is>
      </c>
      <c r="F5" s="78" t="inlineStr">
        <is>
          <t>Escenario en la automatizacion</t>
        </is>
      </c>
      <c r="G5" s="78" t="inlineStr">
        <is>
          <t>Casos que la usan</t>
        </is>
      </c>
    </row>
    <row r="6">
      <c r="B6" s="79" t="inlineStr">
        <is>
          <t>VISA</t>
        </is>
      </c>
      <c r="C6" s="79" t="inlineStr">
        <is>
          <t>4111 1111 1111 1111</t>
        </is>
      </c>
      <c r="D6" s="81" t="inlineStr">
        <is>
          <t>Not challenge</t>
        </is>
      </c>
      <c r="E6" s="79" t="inlineStr">
        <is>
          <t>Se aprueba sin pedir codigo</t>
        </is>
      </c>
      <c r="F6" s="79" t="inlineStr">
        <is>
          <t>principal / aprobada_sin_3ds</t>
        </is>
      </c>
      <c r="G6" s="79" t="inlineStr">
        <is>
          <t>Happy path, validaciones de tarjeta y pagos aprobados (025, 037-043, 050, 064, 090)</t>
        </is>
      </c>
    </row>
    <row r="7">
      <c r="B7" s="79" t="inlineStr">
        <is>
          <t>MasterCard</t>
        </is>
      </c>
      <c r="C7" s="79" t="inlineStr">
        <is>
          <t>5180 3000 0000 0005</t>
        </is>
      </c>
      <c r="D7" s="81" t="inlineStr">
        <is>
          <t>Not challenge</t>
        </is>
      </c>
      <c r="E7" s="79" t="inlineStr">
        <is>
          <t>Se aprueba sin pedir codigo</t>
        </is>
      </c>
      <c r="F7" s="79" t="inlineStr">
        <is>
          <t>sin_3ds_mc</t>
        </is>
      </c>
      <c r="G7" s="79" t="inlineStr">
        <is>
          <t>TC-BP-097 (alterna de 025)</t>
        </is>
      </c>
    </row>
    <row r="8">
      <c r="B8" s="79" t="inlineStr">
        <is>
          <t>VISA</t>
        </is>
      </c>
      <c r="C8" s="79" t="inlineStr">
        <is>
          <t>4110 7600 0000 0008</t>
        </is>
      </c>
      <c r="D8" s="82" t="inlineStr">
        <is>
          <t>Challenge</t>
        </is>
      </c>
      <c r="E8" s="79" t="inlineStr">
        <is>
          <t>El banco pide codigo; al capturarlo se aprueba</t>
        </is>
      </c>
      <c r="F8" s="79" t="inlineStr">
        <is>
          <t>aprobada_con_3ds</t>
        </is>
      </c>
      <c r="G8" s="79" t="inlineStr">
        <is>
          <t>TC-BP-026, 027, 045</t>
        </is>
      </c>
    </row>
    <row r="9">
      <c r="B9" s="79" t="inlineStr">
        <is>
          <t>VISA</t>
        </is>
      </c>
      <c r="C9" s="79" t="inlineStr">
        <is>
          <t>4110 7600 0000 0032</t>
        </is>
      </c>
      <c r="D9" s="82" t="inlineStr">
        <is>
          <t>Challenge</t>
        </is>
      </c>
      <c r="E9" s="79" t="inlineStr">
        <is>
          <t>El banco pide codigo; con codigo incorrecto se rechaza</t>
        </is>
      </c>
      <c r="F9" s="79" t="inlineStr">
        <is>
          <t>nip_incorrecto</t>
        </is>
      </c>
      <c r="G9" s="79" t="inlineStr">
        <is>
          <t>TC-BP-023</t>
        </is>
      </c>
    </row>
    <row r="10">
      <c r="B10" s="79" t="inlineStr">
        <is>
          <t>MasterCard</t>
        </is>
      </c>
      <c r="C10" s="79" t="inlineStr">
        <is>
          <t>5292 5943 8206 0745</t>
        </is>
      </c>
      <c r="D10" s="82" t="inlineStr">
        <is>
          <t>Challenge</t>
        </is>
      </c>
      <c r="E10" s="79" t="inlineStr">
        <is>
          <t>El banco pide codigo; al capturarlo se aprueba</t>
        </is>
      </c>
      <c r="F10" s="79" t="inlineStr">
        <is>
          <t>challenge_mc</t>
        </is>
      </c>
      <c r="G10" s="79" t="inlineStr">
        <is>
          <t>TC-BP-098</t>
        </is>
      </c>
    </row>
    <row r="11">
      <c r="B11" s="79" t="inlineStr">
        <is>
          <t>MasterCard</t>
        </is>
      </c>
      <c r="C11" s="79" t="inlineStr">
        <is>
          <t>5180 3000 0000 0047</t>
        </is>
      </c>
      <c r="D11" s="82" t="inlineStr">
        <is>
          <t>Challenge</t>
        </is>
      </c>
      <c r="E11" s="79" t="inlineStr">
        <is>
          <t>El banco pide codigo; al capturarlo se aprueba</t>
        </is>
      </c>
      <c r="F11" s="79" t="inlineStr">
        <is>
          <t>-</t>
        </is>
      </c>
      <c r="G11" s="79" t="inlineStr">
        <is>
          <t>Alterna de TC-BP-026 / 098</t>
        </is>
      </c>
    </row>
    <row r="12">
      <c r="B12" s="79" t="inlineStr">
        <is>
          <t>VISA</t>
        </is>
      </c>
      <c r="C12" s="79" t="inlineStr">
        <is>
          <t>4110 7600 0000 0040</t>
        </is>
      </c>
      <c r="D12" s="83" t="inlineStr">
        <is>
          <t>Attempt</t>
        </is>
      </c>
      <c r="E12" s="79" t="inlineStr">
        <is>
          <t>Autenticacion intentada; se aprueba sin reto</t>
        </is>
      </c>
      <c r="F12" s="79" t="inlineStr">
        <is>
          <t>attempt</t>
        </is>
      </c>
      <c r="G12" s="79" t="inlineStr">
        <is>
          <t>- (sin casos activos)</t>
        </is>
      </c>
    </row>
    <row r="13">
      <c r="B13" s="79" t="inlineStr">
        <is>
          <t>MasterCard</t>
        </is>
      </c>
      <c r="C13" s="79" t="inlineStr">
        <is>
          <t>5180 3000 0000 0054</t>
        </is>
      </c>
      <c r="D13" s="83" t="inlineStr">
        <is>
          <t>Attempt</t>
        </is>
      </c>
      <c r="E13" s="79" t="inlineStr">
        <is>
          <t>Autenticacion intentada; se aprueba sin reto</t>
        </is>
      </c>
      <c r="F13" s="79" t="inlineStr">
        <is>
          <t>-</t>
        </is>
      </c>
      <c r="G13" s="79" t="inlineStr">
        <is>
          <t>- (sin casos activos)</t>
        </is>
      </c>
    </row>
    <row r="14">
      <c r="B14" s="79" t="inlineStr">
        <is>
          <t>VISA</t>
        </is>
      </c>
      <c r="C14" s="79" t="inlineStr">
        <is>
          <t>4110 7600 0000 0065</t>
        </is>
      </c>
      <c r="D14" s="84" t="inlineStr">
        <is>
          <t>Not authenticated</t>
        </is>
      </c>
      <c r="E14" s="79" t="inlineStr">
        <is>
          <t>La autenticacion falla; 'Rechazada por 3DS'</t>
        </is>
      </c>
      <c r="F14" s="79" t="inlineStr">
        <is>
          <t>declinada</t>
        </is>
      </c>
      <c r="G14" s="79" t="inlineStr">
        <is>
          <t>Rechazos y reintentos (033, 035, 068, 094, 096)</t>
        </is>
      </c>
    </row>
    <row r="15">
      <c r="B15" s="79" t="inlineStr">
        <is>
          <t>MasterCard</t>
        </is>
      </c>
      <c r="C15" s="79" t="inlineStr">
        <is>
          <t>5180 3000 0000 0039</t>
        </is>
      </c>
      <c r="D15" s="84" t="inlineStr">
        <is>
          <t>Not authenticated</t>
        </is>
      </c>
      <c r="E15" s="79" t="inlineStr">
        <is>
          <t>La autenticacion falla; 'Rechazada por 3DS'</t>
        </is>
      </c>
      <c r="F15" s="79" t="inlineStr">
        <is>
          <t>-</t>
        </is>
      </c>
      <c r="G15" s="79" t="inlineStr">
        <is>
          <t>Alterna de TC-BP-096</t>
        </is>
      </c>
    </row>
  </sheetData>
  <mergeCells count="1">
    <mergeCell ref="B3:G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32" min="1" max="1"/>
    <col width="5" customWidth="1" style="32" min="2" max="2"/>
    <col width="28" customWidth="1" style="32" min="3" max="3"/>
    <col width="60" customWidth="1" style="32" min="4" max="4"/>
    <col width="55" customWidth="1" style="32" min="5" max="5"/>
  </cols>
  <sheetData>
    <row r="2">
      <c r="B2" s="77" t="inlineStr">
        <is>
          <t>Flujo real del pago (referencia / linea de captura -&gt; Boton de Pago -&gt; Citeling)</t>
        </is>
      </c>
    </row>
    <row r="4">
      <c r="B4" s="78" t="inlineStr">
        <is>
          <t>#</t>
        </is>
      </c>
      <c r="C4" s="78" t="inlineStr">
        <is>
          <t>Pantalla</t>
        </is>
      </c>
      <c r="D4" s="78" t="inlineStr">
        <is>
          <t>Accion del contribuyente</t>
        </is>
      </c>
      <c r="E4" s="78" t="inlineStr">
        <is>
          <t>Resultado esperado</t>
        </is>
      </c>
    </row>
    <row r="5">
      <c r="B5" s="79" t="n">
        <v>1</v>
      </c>
      <c r="C5" s="79" t="inlineStr">
        <is>
          <t>Portal de pagos del Gobierno</t>
        </is>
      </c>
      <c r="D5" s="79" t="inlineStr">
        <is>
          <t>Abrir el portal y dar clic en 'Predial'</t>
        </is>
      </c>
      <c r="E5" s="79" t="inlineStr">
        <is>
          <t>Se muestra 'Pago de predial'</t>
        </is>
      </c>
    </row>
    <row r="6">
      <c r="B6" s="79" t="n">
        <v>2</v>
      </c>
      <c r="C6" s="79" t="inlineStr">
        <is>
          <t>Pago de predial</t>
        </is>
      </c>
      <c r="D6" s="79" t="inlineStr">
        <is>
          <t>Capturar la referencia o linea de captura (o tipo, cuenta y delegacion)</t>
        </is>
      </c>
      <c r="E6" s="79" t="inlineStr">
        <is>
          <t>Los campos aceptan solo numeros</t>
        </is>
      </c>
    </row>
    <row r="7">
      <c r="B7" s="79" t="n">
        <v>3</v>
      </c>
      <c r="C7" s="79" t="inlineStr">
        <is>
          <t>Pago de predial</t>
        </is>
      </c>
      <c r="D7" s="79" t="inlineStr">
        <is>
          <t>Capturar el captcha y dar clic en 'Consultar'</t>
        </is>
      </c>
      <c r="E7" s="79" t="inlineStr">
        <is>
          <t>Se muestra el detalle del adeudo</t>
        </is>
      </c>
    </row>
    <row r="8">
      <c r="B8" s="79" t="n">
        <v>4</v>
      </c>
      <c r="C8" s="79" t="inlineStr">
        <is>
          <t>Detalle del adeudo</t>
        </is>
      </c>
      <c r="D8" s="79" t="inlineStr">
        <is>
          <t>Dar clic en el boton de pago en linea</t>
        </is>
      </c>
      <c r="E8" s="79" t="inlineStr">
        <is>
          <t>Redirige al Boton de Pago Memphis</t>
        </is>
      </c>
    </row>
    <row r="9">
      <c r="B9" s="79" t="n">
        <v>5</v>
      </c>
      <c r="C9" s="79" t="inlineStr">
        <is>
          <t>Validando link de pago</t>
        </is>
      </c>
      <c r="D9" s="79" t="inlineStr">
        <is>
          <t>Esperar</t>
        </is>
      </c>
      <c r="E9" s="79" t="inlineStr">
        <is>
          <t>Se muestra el Paso 1 con importe, concepto, fecha, solicitante, descripcion y referencia</t>
        </is>
      </c>
    </row>
    <row r="10">
      <c r="B10" s="79" t="n">
        <v>6</v>
      </c>
      <c r="C10" s="79" t="inlineStr">
        <is>
          <t>Paso 1 - Contacto</t>
        </is>
      </c>
      <c r="D10" s="79" t="inlineStr">
        <is>
          <t>Capturar telefono (opcional) y correo (obligatorio) y dar clic en 'Continuar'</t>
        </is>
      </c>
      <c r="E10" s="79" t="inlineStr">
        <is>
          <t>Avanza al Paso 2</t>
        </is>
      </c>
    </row>
    <row r="11">
      <c r="B11" s="79" t="n">
        <v>7</v>
      </c>
      <c r="C11" s="79" t="inlineStr">
        <is>
          <t>Paso 2 - Direccion</t>
        </is>
      </c>
      <c r="D11" s="79" t="inlineStr">
        <is>
          <t>Capturar calle, codigo postal, ciudad, pais y estado y dar clic en 'Continuar' ('Regresar' vuelve al Paso 1)</t>
        </is>
      </c>
      <c r="E11" s="79" t="inlineStr">
        <is>
          <t>Avanza al Paso 3</t>
        </is>
      </c>
    </row>
    <row r="12">
      <c r="B12" s="79" t="n">
        <v>8</v>
      </c>
      <c r="C12" s="79" t="inlineStr">
        <is>
          <t>Paso 3 - Datos de Tarjeta</t>
        </is>
      </c>
      <c r="D12" s="79" t="inlineStr">
        <is>
          <t>Capturar nombre, apellido, numero de tarjeta, vencimiento y CVV y dar clic en 'Continuar'</t>
        </is>
      </c>
      <c r="E12" s="79" t="inlineStr">
        <is>
          <t>Avanza al Paso 4</t>
        </is>
      </c>
    </row>
    <row r="13">
      <c r="B13" s="79" t="n">
        <v>9</v>
      </c>
      <c r="C13" s="79" t="inlineStr">
        <is>
          <t>Paso 4 - Pago</t>
        </is>
      </c>
      <c r="D13" s="79" t="inlineStr">
        <is>
          <t>Revisar el resumen; si la referencia tiene meses sin intereses (unico plazo: 6 meses, aun no habilitado), elegir 6 meses o pagar de contado; dar clic en 'Continuar'</t>
        </is>
      </c>
      <c r="E13" s="79" t="inlineStr">
        <is>
          <t>Se envia el pago</t>
        </is>
      </c>
    </row>
    <row r="14">
      <c r="B14" s="79" t="n">
        <v>10</v>
      </c>
      <c r="C14" s="79" t="inlineStr">
        <is>
          <t>3D Secure (pagina del banco)</t>
        </is>
      </c>
      <c r="D14" s="79" t="inlineStr">
        <is>
          <t>Tarjeta 'Challenge': capturar el codigo del reto. 'Not challenge', 'Attempt' y 'Not authenticated' regresan solas (ver hoja 'Tarjetas 3DS')</t>
        </is>
      </c>
      <c r="E14" s="79" t="inlineStr">
        <is>
          <t>Regresa al Boton de Pago</t>
        </is>
      </c>
    </row>
    <row r="15">
      <c r="B15" s="79" t="n">
        <v>11</v>
      </c>
      <c r="C15" s="79" t="inlineStr">
        <is>
          <t>Resultado</t>
        </is>
      </c>
      <c r="D15" s="79" t="inlineStr">
        <is>
          <t>Aprobada: revisar detalle; contador de 10 s o 'Continuar en N s.'. Rechazada: revisar detalle y aviso; 'Reintentar'</t>
        </is>
      </c>
      <c r="E15" s="79" t="inlineStr">
        <is>
          <t>Muestra Estado, Codigo de respuesta, Referencia, Autorizacion e Identificador</t>
        </is>
      </c>
    </row>
    <row r="16">
      <c r="B16" s="79" t="n">
        <v>12</v>
      </c>
      <c r="C16" s="79" t="inlineStr">
        <is>
          <t>Comprobante de Pago (Gobierno)</t>
        </is>
      </c>
      <c r="D16" s="79" t="inlineStr">
        <is>
          <t>Automatico al terminar el contador o con 'Continuar en N s.'; revisar datos, 'Comprobante de Pago' (PDF) e 'Inicio'</t>
        </is>
      </c>
      <c r="E16" s="79" t="inlineStr">
        <is>
          <t>Muestra tarjetahabiente, institucion financiera, tipo de pago, fecha y la misma autorizacion bancaria</t>
        </is>
      </c>
    </row>
    <row r="17">
      <c r="B17" s="79" t="n">
        <v>13</v>
      </c>
      <c r="C17" s="79" t="inlineStr">
        <is>
          <t>Citeling (manual)</t>
        </is>
      </c>
      <c r="D17" s="79" t="inlineStr">
        <is>
          <t>Buscar el pago por referencia</t>
        </is>
      </c>
      <c r="E17" s="79" t="inlineStr">
        <is>
          <t>El pago aparece una sola vez con importe, autorizacion, fecha y tipo de pago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32" min="1" max="1"/>
    <col width="22" customWidth="1" style="32" min="2" max="2"/>
    <col width="16" customWidth="1" style="32" min="3" max="3"/>
    <col width="11" customWidth="1" style="32" min="4" max="4"/>
    <col width="30" customWidth="1" style="32" min="5" max="5"/>
    <col width="18" customWidth="1" style="32" min="6" max="6"/>
    <col width="30" customWidth="1" style="32" min="7" max="7"/>
    <col width="40" customWidth="1" style="32" min="8" max="8"/>
    <col width="16" customWidth="1" style="32" min="9" max="9"/>
  </cols>
  <sheetData>
    <row r="2">
      <c r="B2" s="77" t="inlineStr">
        <is>
          <t>Formato esperado de cada campo (fuente: pantalla, codigo de la pagina y documento UI_BP_01 v1.4)</t>
        </is>
      </c>
    </row>
    <row r="4">
      <c r="B4" s="78" t="inlineStr">
        <is>
          <t>Campo</t>
        </is>
      </c>
      <c r="C4" s="78" t="inlineStr">
        <is>
          <t>Pantalla</t>
        </is>
      </c>
      <c r="D4" s="78" t="inlineStr">
        <is>
          <t>Obligatorio</t>
        </is>
      </c>
      <c r="E4" s="78" t="inlineStr">
        <is>
          <t>Formato / Mascara</t>
        </is>
      </c>
      <c r="F4" s="78" t="inlineStr">
        <is>
          <t>Longitud</t>
        </is>
      </c>
      <c r="G4" s="78" t="inlineStr">
        <is>
          <t>Caracteres permitidos</t>
        </is>
      </c>
      <c r="H4" s="78" t="inlineStr">
        <is>
          <t>Mensaje de error</t>
        </is>
      </c>
      <c r="I4" s="78" t="inlineStr">
        <is>
          <t>Casos</t>
        </is>
      </c>
    </row>
    <row r="5">
      <c r="B5" s="79" t="inlineStr">
        <is>
          <t>Referencia</t>
        </is>
      </c>
      <c r="C5" s="79" t="inlineStr">
        <is>
          <t>Portal</t>
        </is>
      </c>
      <c r="D5" s="79" t="inlineStr">
        <is>
          <t>Si</t>
        </is>
      </c>
      <c r="E5" s="79" t="inlineStr">
        <is>
          <t>Numerica</t>
        </is>
      </c>
      <c r="F5" s="79" t="inlineStr">
        <is>
          <t>1 a 20 (c_referencia)</t>
        </is>
      </c>
      <c r="G5" s="79" t="inlineStr">
        <is>
          <t>Numeros</t>
        </is>
      </c>
      <c r="H5" s="79" t="inlineStr">
        <is>
          <t>-</t>
        </is>
      </c>
      <c r="I5" s="79" t="inlineStr">
        <is>
          <t>TC-BP-070</t>
        </is>
      </c>
    </row>
    <row r="6">
      <c r="B6" s="79" t="inlineStr">
        <is>
          <t>Linea de captura</t>
        </is>
      </c>
      <c r="C6" s="79" t="inlineStr">
        <is>
          <t>Portal</t>
        </is>
      </c>
      <c r="D6" s="79" t="inlineStr">
        <is>
          <t>Si</t>
        </is>
      </c>
      <c r="E6" s="79" t="inlineStr">
        <is>
          <t>Numerica</t>
        </is>
      </c>
      <c r="F6" s="79" t="inlineStr">
        <is>
          <t>24 digitos</t>
        </is>
      </c>
      <c r="G6" s="79" t="inlineStr">
        <is>
          <t>Numeros</t>
        </is>
      </c>
      <c r="H6" s="79" t="inlineStr">
        <is>
          <t>-</t>
        </is>
      </c>
      <c r="I6" s="79" t="inlineStr">
        <is>
          <t>-</t>
        </is>
      </c>
    </row>
    <row r="7">
      <c r="B7" s="79" t="inlineStr">
        <is>
          <t>Captcha</t>
        </is>
      </c>
      <c r="C7" s="79" t="inlineStr">
        <is>
          <t>Portal</t>
        </is>
      </c>
      <c r="D7" s="79" t="inlineStr">
        <is>
          <t>Si</t>
        </is>
      </c>
      <c r="E7" s="79" t="inlineStr">
        <is>
          <t>Texto de la imagen</t>
        </is>
      </c>
      <c r="F7" s="79" t="inlineStr">
        <is>
          <t>5 caracteres</t>
        </is>
      </c>
      <c r="G7" s="79" t="inlineStr">
        <is>
          <t>Letras y numeros</t>
        </is>
      </c>
      <c r="H7" s="79" t="inlineStr">
        <is>
          <t>-</t>
        </is>
      </c>
      <c r="I7" s="79" t="inlineStr">
        <is>
          <t>-</t>
        </is>
      </c>
    </row>
    <row r="8">
      <c r="B8" s="79" t="inlineStr">
        <is>
          <t>Telefono</t>
        </is>
      </c>
      <c r="C8" s="79" t="inlineStr">
        <is>
          <t>Paso 1</t>
        </is>
      </c>
      <c r="D8" s="79" t="inlineStr">
        <is>
          <t>No</t>
        </is>
      </c>
      <c r="E8" s="79" t="inlineStr">
        <is>
          <t>(55) 1234-5678</t>
        </is>
      </c>
      <c r="F8" s="79" t="inlineStr">
        <is>
          <t>10 a 13 digitos</t>
        </is>
      </c>
      <c r="G8" s="79" t="inlineStr">
        <is>
          <t>Numeros</t>
        </is>
      </c>
      <c r="H8" s="79" t="inlineStr">
        <is>
          <t>El numero de telefono debe tener minimo 10 digitos</t>
        </is>
      </c>
      <c r="I8" s="79" t="inlineStr">
        <is>
          <t>TC-BP-010, 054</t>
        </is>
      </c>
    </row>
    <row r="9">
      <c r="B9" s="79" t="inlineStr">
        <is>
          <t>Correo</t>
        </is>
      </c>
      <c r="C9" s="79" t="inlineStr">
        <is>
          <t>Paso 1</t>
        </is>
      </c>
      <c r="D9" s="79" t="inlineStr">
        <is>
          <t>Si</t>
        </is>
      </c>
      <c r="E9" s="79" t="inlineStr">
        <is>
          <t>usuario@dominio.ext</t>
        </is>
      </c>
      <c r="F9" s="79" t="inlineStr">
        <is>
          <t>30 (documento, val_7)</t>
        </is>
      </c>
      <c r="G9" s="79" t="inlineStr">
        <is>
          <t>Letras, numeros y . _ % + - @</t>
        </is>
      </c>
      <c r="H9" s="79" t="inlineStr">
        <is>
          <t>Este campo es requerido / El campo email debe tener un formato de correo.</t>
        </is>
      </c>
      <c r="I9" s="79" t="inlineStr">
        <is>
          <t>TC-BP-007, 009, 053</t>
        </is>
      </c>
    </row>
    <row r="10">
      <c r="B10" s="79" t="inlineStr">
        <is>
          <t>Calle</t>
        </is>
      </c>
      <c r="C10" s="79" t="inlineStr">
        <is>
          <t>Paso 2</t>
        </is>
      </c>
      <c r="D10" s="79" t="inlineStr">
        <is>
          <t>Si</t>
        </is>
      </c>
      <c r="E10" s="79" t="inlineStr">
        <is>
          <t>Texto libre</t>
        </is>
      </c>
      <c r="F10" s="79" t="inlineStr">
        <is>
          <t>Por definir</t>
        </is>
      </c>
      <c r="G10" s="79" t="inlineStr">
        <is>
          <t>Letras sin acento, numeros y espacios</t>
        </is>
      </c>
      <c r="H10" s="79" t="inlineStr">
        <is>
          <t>Este campo es requerido / Solo se permiten letras y numeros con espacios</t>
        </is>
      </c>
      <c r="I10" s="79" t="inlineStr">
        <is>
          <t>TC-BP-013</t>
        </is>
      </c>
    </row>
    <row r="11">
      <c r="B11" s="79" t="inlineStr">
        <is>
          <t>Codigo postal</t>
        </is>
      </c>
      <c r="C11" s="79" t="inlineStr">
        <is>
          <t>Paso 2</t>
        </is>
      </c>
      <c r="D11" s="79" t="inlineStr">
        <is>
          <t>Si</t>
        </is>
      </c>
      <c r="E11" s="79" t="inlineStr">
        <is>
          <t>00000</t>
        </is>
      </c>
      <c r="F11" s="79" t="inlineStr">
        <is>
          <t>5 digitos</t>
        </is>
      </c>
      <c r="G11" s="79" t="inlineStr">
        <is>
          <t>Numeros</t>
        </is>
      </c>
      <c r="H11" s="79" t="inlineStr">
        <is>
          <t>Debe ser un codigo postal valido.</t>
        </is>
      </c>
      <c r="I11" s="79" t="inlineStr">
        <is>
          <t>TC-BP-014, 015</t>
        </is>
      </c>
    </row>
    <row r="12">
      <c r="B12" s="79" t="inlineStr">
        <is>
          <t>Ciudad</t>
        </is>
      </c>
      <c r="C12" s="79" t="inlineStr">
        <is>
          <t>Paso 2</t>
        </is>
      </c>
      <c r="D12" s="79" t="inlineStr">
        <is>
          <t>Si</t>
        </is>
      </c>
      <c r="E12" s="79" t="inlineStr">
        <is>
          <t>Texto libre</t>
        </is>
      </c>
      <c r="F12" s="79" t="inlineStr">
        <is>
          <t>Por definir</t>
        </is>
      </c>
      <c r="G12" s="79" t="inlineStr">
        <is>
          <t>Letras sin acento, numeros y espacios</t>
        </is>
      </c>
      <c r="H12" s="79" t="inlineStr">
        <is>
          <t>Este campo es requerido</t>
        </is>
      </c>
      <c r="I12" s="79" t="inlineStr">
        <is>
          <t>TC-BP-012</t>
        </is>
      </c>
    </row>
    <row r="13">
      <c r="B13" s="79" t="inlineStr">
        <is>
          <t>Pais</t>
        </is>
      </c>
      <c r="C13" s="79" t="inlineStr">
        <is>
          <t>Paso 2</t>
        </is>
      </c>
      <c r="D13" s="79" t="inlineStr">
        <is>
          <t>Si</t>
        </is>
      </c>
      <c r="E13" s="79" t="inlineStr">
        <is>
          <t>Lista (Mexico por defecto)</t>
        </is>
      </c>
      <c r="F13" s="79" t="inlineStr">
        <is>
          <t>-</t>
        </is>
      </c>
      <c r="G13" s="79" t="inlineStr">
        <is>
          <t>-</t>
        </is>
      </c>
      <c r="H13" s="79" t="inlineStr">
        <is>
          <t>Este campo es requerido</t>
        </is>
      </c>
      <c r="I13" s="79" t="inlineStr">
        <is>
          <t>TC-BP-058</t>
        </is>
      </c>
    </row>
    <row r="14">
      <c r="B14" s="79" t="inlineStr">
        <is>
          <t>Estado</t>
        </is>
      </c>
      <c r="C14" s="79" t="inlineStr">
        <is>
          <t>Paso 2</t>
        </is>
      </c>
      <c r="D14" s="79" t="inlineStr">
        <is>
          <t>Si</t>
        </is>
      </c>
      <c r="E14" s="79" t="inlineStr">
        <is>
          <t>Lista segun el pais</t>
        </is>
      </c>
      <c r="F14" s="79" t="inlineStr">
        <is>
          <t>-</t>
        </is>
      </c>
      <c r="G14" s="79" t="inlineStr">
        <is>
          <t>-</t>
        </is>
      </c>
      <c r="H14" s="79" t="inlineStr">
        <is>
          <t>Este campo es requerido (observado: globo del navegador en ingles)</t>
        </is>
      </c>
      <c r="I14" s="79" t="inlineStr">
        <is>
          <t>TC-BP-056</t>
        </is>
      </c>
    </row>
    <row r="15">
      <c r="B15" s="79" t="inlineStr">
        <is>
          <t>Nombre</t>
        </is>
      </c>
      <c r="C15" s="79" t="inlineStr">
        <is>
          <t>Paso 3</t>
        </is>
      </c>
      <c r="D15" s="79" t="inlineStr">
        <is>
          <t>Si</t>
        </is>
      </c>
      <c r="E15" s="79" t="inlineStr">
        <is>
          <t>Texto</t>
        </is>
      </c>
      <c r="F15" s="79" t="inlineStr">
        <is>
          <t>50 junto con apellido (s_nombre)</t>
        </is>
      </c>
      <c r="G15" s="79" t="inlineStr">
        <is>
          <t>Letras con acento (observado: sin espacios)</t>
        </is>
      </c>
      <c r="H15" s="79" t="inlineStr">
        <is>
          <t>Solo se permiten letras con acentos</t>
        </is>
      </c>
      <c r="I15" s="79" t="inlineStr">
        <is>
          <t>TC-BP-059, 060</t>
        </is>
      </c>
    </row>
    <row r="16">
      <c r="B16" s="79" t="inlineStr">
        <is>
          <t>Apellido</t>
        </is>
      </c>
      <c r="C16" s="79" t="inlineStr">
        <is>
          <t>Paso 3</t>
        </is>
      </c>
      <c r="D16" s="79" t="inlineStr">
        <is>
          <t>Si</t>
        </is>
      </c>
      <c r="E16" s="79" t="inlineStr">
        <is>
          <t>Texto</t>
        </is>
      </c>
      <c r="F16" s="79" t="inlineStr">
        <is>
          <t>50 junto con nombre (s_nombre)</t>
        </is>
      </c>
      <c r="G16" s="79" t="inlineStr">
        <is>
          <t>Letras con acento (observado: sin espacios)</t>
        </is>
      </c>
      <c r="H16" s="79" t="inlineStr">
        <is>
          <t>Solo se permiten letras con acentos</t>
        </is>
      </c>
      <c r="I16" s="79" t="inlineStr">
        <is>
          <t>TC-BP-059</t>
        </is>
      </c>
    </row>
    <row r="17">
      <c r="B17" s="79" t="inlineStr">
        <is>
          <t>Numero de tarjeta</t>
        </is>
      </c>
      <c r="C17" s="79" t="inlineStr">
        <is>
          <t>Paso 3</t>
        </is>
      </c>
      <c r="D17" s="79" t="inlineStr">
        <is>
          <t>Si</t>
        </is>
      </c>
      <c r="E17" s="79" t="inlineStr">
        <is>
          <t>0000 0000 0000 0000</t>
        </is>
      </c>
      <c r="F17" s="79" t="inlineStr">
        <is>
          <t>15 o 16 digitos</t>
        </is>
      </c>
      <c r="G17" s="79" t="inlineStr">
        <is>
          <t>Numeros</t>
        </is>
      </c>
      <c r="H17" s="79" t="inlineStr">
        <is>
          <t>La tarjeta debe tener 15 o 16 digitos</t>
        </is>
      </c>
      <c r="I17" s="79" t="inlineStr">
        <is>
          <t>TC-BP-020, 061</t>
        </is>
      </c>
    </row>
    <row r="18">
      <c r="B18" s="79" t="inlineStr">
        <is>
          <t>Vencimiento</t>
        </is>
      </c>
      <c r="C18" s="79" t="inlineStr">
        <is>
          <t>Paso 3</t>
        </is>
      </c>
      <c r="D18" s="79" t="inlineStr">
        <is>
          <t>Si</t>
        </is>
      </c>
      <c r="E18" s="79" t="inlineStr">
        <is>
          <t>MM/AA</t>
        </is>
      </c>
      <c r="F18" s="79" t="inlineStr">
        <is>
          <t>4 digitos</t>
        </is>
      </c>
      <c r="G18" s="79" t="inlineStr">
        <is>
          <t>Numeros; mes 01-12; vigente</t>
        </is>
      </c>
      <c r="H18" s="79" t="inlineStr">
        <is>
          <t>Debe tener 4 digitos / Fecha de vencimiento invalida</t>
        </is>
      </c>
      <c r="I18" s="79" t="inlineStr">
        <is>
          <t>TC-BP-021, 062</t>
        </is>
      </c>
    </row>
    <row r="19">
      <c r="B19" s="79" t="inlineStr">
        <is>
          <t>CVV</t>
        </is>
      </c>
      <c r="C19" s="79" t="inlineStr">
        <is>
          <t>Paso 3</t>
        </is>
      </c>
      <c r="D19" s="79" t="inlineStr">
        <is>
          <t>Si</t>
        </is>
      </c>
      <c r="E19" s="79" t="inlineStr">
        <is>
          <t>Oculto (puntos)</t>
        </is>
      </c>
      <c r="F19" s="79" t="inlineStr">
        <is>
          <t>3 digitos</t>
        </is>
      </c>
      <c r="G19" s="79" t="inlineStr">
        <is>
          <t>Numeros</t>
        </is>
      </c>
      <c r="H19" s="79" t="inlineStr">
        <is>
          <t>El CVV debe tener 3 digitos</t>
        </is>
      </c>
      <c r="I19" s="79" t="inlineStr">
        <is>
          <t>TC-BP-022, 063</t>
        </is>
      </c>
    </row>
    <row r="20">
      <c r="B20" s="79" t="inlineStr">
        <is>
          <t>Importe</t>
        </is>
      </c>
      <c r="C20" s="79" t="inlineStr">
        <is>
          <t>Encabezado</t>
        </is>
      </c>
      <c r="D20" s="79" t="inlineStr">
        <is>
          <t>-</t>
        </is>
      </c>
      <c r="E20" s="79" t="inlineStr">
        <is>
          <t>$0,000.00 (observado: sin separador de miles)</t>
        </is>
      </c>
      <c r="F20" s="79" t="inlineStr">
        <is>
          <t>Hasta 2 decimales</t>
        </is>
      </c>
      <c r="G20" s="79" t="inlineStr">
        <is>
          <t>-</t>
        </is>
      </c>
      <c r="H20" s="79" t="inlineStr">
        <is>
          <t>-</t>
        </is>
      </c>
      <c r="I20" s="79"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2026-09-25T18:30:50Z</dcterms:created>
  <dcterms:modified xsi:type="dcterms:W3CDTF">2026-09-30T06:31:41Z</dcterms:modified>
  <cp:revision>1</cp:revision>
</cp:coreProperties>
</file>